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ha\Desktop\"/>
    </mc:Choice>
  </mc:AlternateContent>
  <xr:revisionPtr revIDLastSave="0" documentId="13_ncr:1_{3D5843DA-190F-42F0-9BB4-9EBF0E4DC45B}" xr6:coauthVersionLast="47" xr6:coauthVersionMax="47" xr10:uidLastSave="{00000000-0000-0000-0000-000000000000}"/>
  <bookViews>
    <workbookView xWindow="-108" yWindow="-108" windowWidth="23256" windowHeight="12456" tabRatio="695" activeTab="3" xr2:uid="{00000000-000D-0000-FFFF-FFFF00000000}"/>
  </bookViews>
  <sheets>
    <sheet name="Raw data" sheetId="5" r:id="rId1"/>
    <sheet name="Part 1" sheetId="1" r:id="rId2"/>
    <sheet name="Part 2" sheetId="7" r:id="rId3"/>
    <sheet name="Part 3" sheetId="6" r:id="rId4"/>
  </sheets>
  <definedNames>
    <definedName name="_xlnm._FilterDatabase" localSheetId="0" hidden="1">'Raw data'!$B$6:$J$49</definedName>
    <definedName name="Date">'Raw data'!$B$7:$B$49</definedName>
    <definedName name="Employee">'Raw data'!$F$7:$F$49</definedName>
    <definedName name="Item">'Raw data'!$G$7:$G$49</definedName>
    <definedName name="Month">'Raw data'!$D$7:$D$49</definedName>
    <definedName name="Region">'Raw data'!$E$7:$E$49</definedName>
    <definedName name="Total">'Raw data'!$J$7:$J$49</definedName>
    <definedName name="Unit_Cost">'Raw data'!$I$7:$I$49</definedName>
    <definedName name="Units">'Raw data'!$H$7:$H$49</definedName>
    <definedName name="Year">'Raw data'!$C$7:$C$49</definedName>
  </definedNames>
  <calcPr calcId="19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M8" i="1"/>
  <c r="M17" i="1"/>
  <c r="M6" i="1"/>
  <c r="M16" i="1"/>
  <c r="H18" i="1"/>
  <c r="H19" i="1"/>
  <c r="H20" i="1"/>
  <c r="H21" i="1"/>
  <c r="H22" i="1"/>
  <c r="H17" i="1"/>
  <c r="H11" i="1"/>
  <c r="H12" i="1"/>
  <c r="H13" i="1"/>
  <c r="H14" i="1"/>
  <c r="H15" i="1"/>
  <c r="H10" i="1"/>
  <c r="D9" i="1"/>
  <c r="D11" i="1"/>
  <c r="D12" i="1"/>
  <c r="D13" i="1"/>
  <c r="D10" i="1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7" i="5"/>
</calcChain>
</file>

<file path=xl/sharedStrings.xml><?xml version="1.0" encoding="utf-8"?>
<sst xmlns="http://schemas.openxmlformats.org/spreadsheetml/2006/main" count="224" uniqueCount="75">
  <si>
    <t>Month</t>
  </si>
  <si>
    <t>Date</t>
  </si>
  <si>
    <t>Region</t>
  </si>
  <si>
    <t>Employee</t>
  </si>
  <si>
    <t>Item</t>
  </si>
  <si>
    <t>Units</t>
  </si>
  <si>
    <t>Unit Cost</t>
  </si>
  <si>
    <t>Total</t>
  </si>
  <si>
    <t>Quebec</t>
  </si>
  <si>
    <t>Jones</t>
  </si>
  <si>
    <t>Pencil</t>
  </si>
  <si>
    <t>Ontario</t>
  </si>
  <si>
    <t>Kivell</t>
  </si>
  <si>
    <t>Binder</t>
  </si>
  <si>
    <t>Howard</t>
  </si>
  <si>
    <t>Gill</t>
  </si>
  <si>
    <t>Pen</t>
  </si>
  <si>
    <t>Alberta</t>
  </si>
  <si>
    <t>Sorvino</t>
  </si>
  <si>
    <t>Andrews</t>
  </si>
  <si>
    <t>Thompson</t>
  </si>
  <si>
    <t>Morgan</t>
  </si>
  <si>
    <t>Parent</t>
  </si>
  <si>
    <t>Smith</t>
  </si>
  <si>
    <t>Desk</t>
  </si>
  <si>
    <t>Pen Set</t>
  </si>
  <si>
    <t>1.</t>
  </si>
  <si>
    <t>2.</t>
  </si>
  <si>
    <t>Total Revenue for Ontario</t>
  </si>
  <si>
    <t>Revenue</t>
  </si>
  <si>
    <t>What is the cost of one binder in Alberta?</t>
  </si>
  <si>
    <t>What is the cost of one desk in Quebec?</t>
  </si>
  <si>
    <t>What is the cost of two binders in Ontorio and 5 Pencils in Quebec?</t>
  </si>
  <si>
    <t>Part 1: Excel Functions</t>
  </si>
  <si>
    <t>Part 2: Pivot table</t>
  </si>
  <si>
    <t>Create a pivot table</t>
  </si>
  <si>
    <t>Create a pivot table showing the items sold and revenue per month</t>
  </si>
  <si>
    <t>Create a pivot table highlighting the items sold per Employee with filter for Region and Quarter</t>
  </si>
  <si>
    <t>Create a Dynamic Chart</t>
  </si>
  <si>
    <t>Part 3: Creating Dynamic Chart</t>
  </si>
  <si>
    <t>Create a dynamic chart that can be filtered by:</t>
  </si>
  <si>
    <t>Quarterly Revenue trend</t>
  </si>
  <si>
    <t>Monthly Items sold</t>
  </si>
  <si>
    <t>Annual Revenue by Region</t>
  </si>
  <si>
    <t>Showing the following information:</t>
  </si>
  <si>
    <t>Use this data to answer the questions in this exam</t>
  </si>
  <si>
    <t>Raw data: Table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</si>
  <si>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</si>
  <si>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</si>
  <si>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</si>
  <si>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</si>
  <si>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</si>
  <si>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</si>
  <si>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</si>
  <si>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</si>
  <si>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</si>
  <si>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</si>
  <si>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</si>
  <si>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</si>
  <si>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</si>
  <si>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Number of Units sold per item</t>
  </si>
  <si>
    <r>
      <t xml:space="preserve">Fill in the blanks based on the information in the Raw Data tab. </t>
    </r>
    <r>
      <rPr>
        <b/>
        <i/>
        <sz val="8"/>
        <color rgb="FFFFC000"/>
        <rFont val="Times New Roman"/>
        <family val="1"/>
      </rPr>
      <t>Please leave the EXCEL FORMULA you use to calculate the answers.</t>
    </r>
  </si>
  <si>
    <t>Region: Ontario</t>
  </si>
  <si>
    <t>Year: 2007</t>
  </si>
  <si>
    <t xml:space="preserve"> =SUMIFS(Total, Region, "Ontario", Year, "2007", Month, 'Part 1'!G10)</t>
  </si>
  <si>
    <t>Formula:</t>
  </si>
  <si>
    <t xml:space="preserve"> =SUMIF(Item, 'Part 1'!C9, Units)</t>
  </si>
  <si>
    <t>Formula</t>
  </si>
  <si>
    <r>
      <rPr>
        <b/>
        <sz val="11"/>
        <color rgb="FFC00000"/>
        <rFont val="Times New Roman"/>
        <family val="1"/>
      </rPr>
      <t>Total Cost</t>
    </r>
    <r>
      <rPr>
        <sz val="11"/>
        <color theme="1" tint="0.34998626667073579"/>
        <rFont val="Times New Roman"/>
        <family val="1"/>
      </rPr>
      <t xml:space="preserve">: </t>
    </r>
    <r>
      <rPr>
        <b/>
        <sz val="11"/>
        <color theme="1" tint="0.34998626667073579"/>
        <rFont val="Times New Roman"/>
        <family val="1"/>
      </rPr>
      <t>=SUMIFS(Total, Region, "Alberta", Item, "Binder")</t>
    </r>
  </si>
  <si>
    <r>
      <rPr>
        <b/>
        <sz val="11"/>
        <color rgb="FFC00000"/>
        <rFont val="Times New Roman"/>
        <family val="1"/>
      </rPr>
      <t>Units Sold:</t>
    </r>
    <r>
      <rPr>
        <sz val="11"/>
        <color theme="1" tint="0.34998626667073579"/>
        <rFont val="Times New Roman"/>
        <family val="1"/>
      </rPr>
      <t xml:space="preserve"> </t>
    </r>
    <r>
      <rPr>
        <b/>
        <sz val="11"/>
        <color theme="1" tint="0.34998626667073579"/>
        <rFont val="Times New Roman"/>
        <family val="1"/>
      </rPr>
      <t>=SUMIFS(Units, Region, "Alberta", Item, "Binder")</t>
    </r>
  </si>
  <si>
    <t>Row Labels</t>
  </si>
  <si>
    <t>Grand Total</t>
  </si>
  <si>
    <t>Sum of Total</t>
  </si>
  <si>
    <t>Column Labels</t>
  </si>
  <si>
    <t>Count of Employee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</si>
</sst>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1009]* #,##0.00_-;\-[$$-1009]* #,##0.00_-;_-[$$-1009]* &quot;-&quot;??_-;_-@_-"/>
    <numFmt numFmtId="165" formatCode="mmm"/>
  </numFmts>
  <fonts count="32" x14ac:knownFonts="1">
    <font>
      <sz val="8"/>
      <color theme="1"/>
      <name val="Tahoma"/>
      <family val="2"/>
    </font>
    <font>
      <sz val="11"/>
      <color theme="1"/>
      <name val="Segoe UI"/>
      <family val="2"/>
    </font>
    <font>
      <sz val="12"/>
      <color theme="1"/>
      <name val="Segoe UI"/>
      <family val="2"/>
    </font>
    <font>
      <sz val="11"/>
      <color theme="1" tint="0.34998626667073579"/>
      <name val="Segoe UI"/>
      <family val="2"/>
    </font>
    <font>
      <b/>
      <sz val="8"/>
      <color rgb="FF0033CC"/>
      <name val="Tahoma"/>
      <family val="2"/>
    </font>
    <font>
      <sz val="8"/>
      <color theme="1" tint="0.34998626667073579"/>
      <name val="Tahoma"/>
      <family val="2"/>
    </font>
    <font>
      <sz val="12"/>
      <color theme="1" tint="0.34998626667073579"/>
      <name val="Segoe UI"/>
      <family val="2"/>
    </font>
    <font>
      <sz val="12"/>
      <color theme="0"/>
      <name val="Segoe UI"/>
      <family val="2"/>
    </font>
    <font>
      <sz val="11"/>
      <color theme="0"/>
      <name val="Segoe UI"/>
      <family val="2"/>
    </font>
    <font>
      <sz val="8"/>
      <color theme="0"/>
      <name val="Segoe UI"/>
      <family val="2"/>
    </font>
    <font>
      <i/>
      <sz val="8"/>
      <color theme="0"/>
      <name val="Segoe UI"/>
      <family val="2"/>
    </font>
    <font>
      <i/>
      <sz val="8"/>
      <color rgb="FFFFC000"/>
      <name val="Segoe UI"/>
      <family val="2"/>
    </font>
    <font>
      <sz val="11"/>
      <color rgb="FFFFC000"/>
      <name val="Segoe UI"/>
      <family val="2"/>
    </font>
    <font>
      <sz val="12"/>
      <color theme="0"/>
      <name val="Times New Roman"/>
      <family val="1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i/>
      <sz val="8"/>
      <color rgb="FFFFC000"/>
      <name val="Times New Roman"/>
      <family val="1"/>
    </font>
    <font>
      <b/>
      <i/>
      <sz val="8"/>
      <color rgb="FFFFC000"/>
      <name val="Times New Roman"/>
      <family val="1"/>
    </font>
    <font>
      <sz val="11"/>
      <color rgb="FFFFC000"/>
      <name val="Times New Roman"/>
      <family val="1"/>
    </font>
    <font>
      <i/>
      <sz val="8"/>
      <color theme="0"/>
      <name val="Times New Roman"/>
      <family val="1"/>
    </font>
    <font>
      <sz val="12"/>
      <color theme="1" tint="0.34998626667073579"/>
      <name val="Times New Roman"/>
      <family val="1"/>
    </font>
    <font>
      <sz val="11"/>
      <color theme="1" tint="0.34998626667073579"/>
      <name val="Times New Roman"/>
      <family val="1"/>
    </font>
    <font>
      <b/>
      <sz val="11"/>
      <color theme="1" tint="0.34998626667073579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rgb="FFC00000"/>
      <name val="Times New Roman"/>
      <family val="1"/>
    </font>
    <font>
      <sz val="11"/>
      <color rgb="FF002060"/>
      <name val="Times New Roman"/>
      <family val="1"/>
    </font>
    <font>
      <b/>
      <sz val="11"/>
      <color rgb="FFC00000"/>
      <name val="Times New Roman"/>
      <family val="1"/>
    </font>
    <font>
      <i/>
      <sz val="12"/>
      <color rgb="FFFFC000"/>
      <name val="Times New Roman"/>
      <family val="1"/>
    </font>
    <font>
      <sz val="12"/>
      <color rgb="FFFFC000"/>
      <name val="Times New Roman"/>
      <family val="1"/>
    </font>
    <font>
      <i/>
      <sz val="12"/>
      <color theme="0"/>
      <name val="Times New Roman"/>
      <family val="1"/>
    </font>
    <font>
      <b/>
      <sz val="12"/>
      <color theme="1" tint="0.34998626667073579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rgb="FF0033CC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4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4" fillId="2" borderId="0" xfId="0" applyNumberFormat="1" applyFon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0" borderId="0" xfId="0" applyFont="1"/>
    <xf numFmtId="0" fontId="3" fillId="0" borderId="0" xfId="0" quotePrefix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7" fillId="3" borderId="0" xfId="0" applyFont="1" applyFill="1" applyProtection="1">
      <protection locked="0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0" fontId="8" fillId="3" borderId="0" xfId="0" applyFont="1" applyFill="1" applyAlignment="1" applyProtection="1">
      <alignment horizontal="center" wrapText="1"/>
      <protection locked="0"/>
    </xf>
    <xf numFmtId="0" fontId="9" fillId="3" borderId="0" xfId="0" applyFont="1" applyFill="1" applyProtection="1">
      <protection locked="0"/>
    </xf>
    <xf numFmtId="0" fontId="8" fillId="3" borderId="0" xfId="0" applyFont="1" applyFill="1" applyAlignment="1">
      <alignment horizontal="left"/>
    </xf>
    <xf numFmtId="0" fontId="8" fillId="3" borderId="0" xfId="0" applyFont="1" applyFill="1"/>
    <xf numFmtId="0" fontId="8" fillId="3" borderId="0" xfId="0" applyFont="1" applyFill="1" applyAlignment="1">
      <alignment horizontal="center" wrapText="1"/>
    </xf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1" xfId="0" applyFont="1" applyFill="1" applyBorder="1"/>
    <xf numFmtId="0" fontId="8" fillId="3" borderId="1" xfId="0" applyFont="1" applyFill="1" applyBorder="1" applyAlignment="1">
      <alignment horizontal="center" wrapText="1"/>
    </xf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right"/>
    </xf>
    <xf numFmtId="0" fontId="10" fillId="3" borderId="0" xfId="0" applyFont="1" applyFill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3" borderId="1" xfId="0" applyFont="1" applyFill="1" applyBorder="1"/>
    <xf numFmtId="0" fontId="3" fillId="0" borderId="0" xfId="0" quotePrefix="1" applyFont="1"/>
    <xf numFmtId="165" fontId="1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4" fontId="1" fillId="0" borderId="0" xfId="0" applyNumberFormat="1" applyFont="1"/>
    <xf numFmtId="0" fontId="13" fillId="3" borderId="0" xfId="0" applyFont="1" applyFill="1" applyProtection="1">
      <protection locked="0"/>
    </xf>
    <xf numFmtId="0" fontId="14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Protection="1">
      <protection locked="0"/>
    </xf>
    <xf numFmtId="0" fontId="14" fillId="3" borderId="0" xfId="0" applyFont="1" applyFill="1" applyAlignment="1" applyProtection="1">
      <alignment horizontal="center" wrapText="1"/>
      <protection locked="0"/>
    </xf>
    <xf numFmtId="0" fontId="15" fillId="3" borderId="0" xfId="0" applyFont="1" applyFill="1" applyProtection="1">
      <protection locked="0"/>
    </xf>
    <xf numFmtId="0" fontId="14" fillId="3" borderId="0" xfId="0" applyFont="1" applyFill="1" applyAlignment="1">
      <alignment horizontal="left"/>
    </xf>
    <xf numFmtId="0" fontId="14" fillId="3" borderId="0" xfId="0" applyFont="1" applyFill="1"/>
    <xf numFmtId="0" fontId="14" fillId="3" borderId="0" xfId="0" applyFont="1" applyFill="1" applyAlignment="1">
      <alignment horizontal="center" wrapText="1"/>
    </xf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right"/>
    </xf>
    <xf numFmtId="0" fontId="16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14" fillId="3" borderId="1" xfId="0" applyFont="1" applyFill="1" applyBorder="1" applyAlignment="1">
      <alignment horizontal="center" wrapText="1"/>
    </xf>
    <xf numFmtId="0" fontId="14" fillId="3" borderId="1" xfId="0" applyFont="1" applyFill="1" applyBorder="1" applyAlignment="1">
      <alignment horizontal="center"/>
    </xf>
    <xf numFmtId="0" fontId="14" fillId="3" borderId="1" xfId="0" applyFont="1" applyFill="1" applyBorder="1"/>
    <xf numFmtId="0" fontId="14" fillId="3" borderId="1" xfId="0" applyFont="1" applyFill="1" applyBorder="1" applyAlignment="1">
      <alignment horizontal="right"/>
    </xf>
    <xf numFmtId="0" fontId="19" fillId="3" borderId="0" xfId="0" applyFont="1" applyFill="1" applyAlignment="1">
      <alignment horizontal="left"/>
    </xf>
    <xf numFmtId="0" fontId="20" fillId="0" borderId="0" xfId="0" applyFont="1"/>
    <xf numFmtId="0" fontId="21" fillId="0" borderId="0" xfId="0" quotePrefix="1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2" xfId="0" applyFont="1" applyBorder="1" applyAlignment="1">
      <alignment horizont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wrapText="1"/>
    </xf>
    <xf numFmtId="0" fontId="22" fillId="0" borderId="0" xfId="0" applyFont="1"/>
    <xf numFmtId="0" fontId="14" fillId="0" borderId="0" xfId="0" applyFont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0" borderId="2" xfId="0" quotePrefix="1" applyFont="1" applyBorder="1" applyAlignment="1">
      <alignment horizontal="center" wrapText="1"/>
    </xf>
    <xf numFmtId="0" fontId="23" fillId="0" borderId="0" xfId="0" applyFont="1"/>
    <xf numFmtId="0" fontId="24" fillId="0" borderId="0" xfId="0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 wrapText="1"/>
    </xf>
    <xf numFmtId="0" fontId="25" fillId="0" borderId="0" xfId="0" quotePrefix="1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0" fontId="21" fillId="0" borderId="3" xfId="0" applyFont="1" applyBorder="1"/>
    <xf numFmtId="0" fontId="21" fillId="0" borderId="3" xfId="0" applyFont="1" applyBorder="1" applyAlignment="1">
      <alignment vertical="center"/>
    </xf>
    <xf numFmtId="0" fontId="27" fillId="0" borderId="3" xfId="0" applyFont="1" applyBorder="1" applyAlignment="1">
      <alignment horizontal="center" wrapText="1"/>
    </xf>
    <xf numFmtId="0" fontId="21" fillId="0" borderId="4" xfId="0" applyFont="1" applyBorder="1"/>
    <xf numFmtId="0" fontId="21" fillId="0" borderId="5" xfId="0" applyFont="1" applyBorder="1"/>
    <xf numFmtId="0" fontId="21" fillId="0" borderId="3" xfId="0" applyFont="1" applyBorder="1" applyAlignment="1">
      <alignment horizontal="left" vertical="center"/>
    </xf>
    <xf numFmtId="0" fontId="27" fillId="0" borderId="4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2" borderId="0" xfId="0" quotePrefix="1" applyFont="1" applyFill="1" applyAlignment="1">
      <alignment horizontal="center"/>
    </xf>
    <xf numFmtId="0" fontId="25" fillId="0" borderId="6" xfId="0" applyFont="1" applyBorder="1" applyAlignment="1">
      <alignment horizontal="left" vertical="center"/>
    </xf>
    <xf numFmtId="0" fontId="25" fillId="0" borderId="7" xfId="0" applyFont="1" applyBorder="1" applyAlignment="1">
      <alignment horizontal="left" vertical="center"/>
    </xf>
    <xf numFmtId="0" fontId="25" fillId="0" borderId="8" xfId="0" applyFont="1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25" fillId="0" borderId="10" xfId="0" quotePrefix="1" applyFont="1" applyBorder="1" applyAlignment="1">
      <alignment horizontal="center" vertical="center"/>
    </xf>
    <xf numFmtId="0" fontId="25" fillId="0" borderId="11" xfId="0" quotePrefix="1" applyFont="1" applyBorder="1" applyAlignment="1">
      <alignment horizontal="center" vertical="center"/>
    </xf>
    <xf numFmtId="0" fontId="13" fillId="3" borderId="0" xfId="0" applyFont="1" applyFill="1" applyAlignment="1" applyProtection="1">
      <alignment horizontal="center"/>
      <protection locked="0"/>
    </xf>
    <xf numFmtId="0" fontId="13" fillId="3" borderId="0" xfId="0" applyFont="1" applyFill="1" applyAlignment="1" applyProtection="1">
      <alignment horizontal="center" wrapText="1"/>
      <protection locked="0"/>
    </xf>
    <xf numFmtId="0" fontId="13" fillId="3" borderId="0" xfId="0" applyFont="1" applyFill="1" applyAlignment="1">
      <alignment horizontal="left"/>
    </xf>
    <xf numFmtId="0" fontId="13" fillId="3" borderId="0" xfId="0" applyFont="1" applyFill="1"/>
    <xf numFmtId="0" fontId="13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center"/>
    </xf>
    <xf numFmtId="0" fontId="13" fillId="3" borderId="0" xfId="0" applyFont="1" applyFill="1" applyAlignment="1">
      <alignment horizontal="right"/>
    </xf>
    <xf numFmtId="0" fontId="28" fillId="3" borderId="1" xfId="0" applyFont="1" applyFill="1" applyBorder="1" applyAlignment="1">
      <alignment horizontal="left"/>
    </xf>
    <xf numFmtId="0" fontId="29" fillId="3" borderId="1" xfId="0" applyFont="1" applyFill="1" applyBorder="1"/>
    <xf numFmtId="0" fontId="13" fillId="3" borderId="1" xfId="0" applyFont="1" applyFill="1" applyBorder="1" applyAlignment="1">
      <alignment horizontal="center" wrapText="1"/>
    </xf>
    <xf numFmtId="0" fontId="13" fillId="3" borderId="1" xfId="0" applyFont="1" applyFill="1" applyBorder="1" applyAlignment="1">
      <alignment horizontal="center"/>
    </xf>
    <xf numFmtId="0" fontId="13" fillId="3" borderId="1" xfId="0" applyFont="1" applyFill="1" applyBorder="1"/>
    <xf numFmtId="0" fontId="13" fillId="3" borderId="1" xfId="0" applyFont="1" applyFill="1" applyBorder="1" applyAlignment="1">
      <alignment horizontal="right"/>
    </xf>
    <xf numFmtId="0" fontId="30" fillId="3" borderId="0" xfId="0" applyFont="1" applyFill="1" applyAlignment="1">
      <alignment horizontal="left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quotePrefix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4" fillId="0" borderId="3" xfId="0" applyFont="1" applyBorder="1"/>
    <xf numFmtId="0" fontId="24" fillId="0" borderId="16" xfId="0" pivotButton="1" applyFont="1" applyBorder="1"/>
    <xf numFmtId="0" fontId="24" fillId="0" borderId="17" xfId="0" applyFont="1" applyBorder="1"/>
    <xf numFmtId="0" fontId="24" fillId="4" borderId="13" xfId="0" applyFont="1" applyFill="1" applyBorder="1"/>
    <xf numFmtId="0" fontId="24" fillId="4" borderId="14" xfId="0" applyFont="1" applyFill="1" applyBorder="1"/>
    <xf numFmtId="0" fontId="24" fillId="4" borderId="15" xfId="0" applyFont="1" applyFill="1" applyBorder="1"/>
    <xf numFmtId="0" fontId="27" fillId="5" borderId="16" xfId="0" applyFont="1" applyFill="1" applyBorder="1" applyAlignment="1">
      <alignment horizontal="left"/>
    </xf>
    <xf numFmtId="164" fontId="24" fillId="5" borderId="3" xfId="0" applyNumberFormat="1" applyFont="1" applyFill="1" applyBorder="1"/>
    <xf numFmtId="164" fontId="24" fillId="5" borderId="17" xfId="0" applyNumberFormat="1" applyFont="1" applyFill="1" applyBorder="1"/>
    <xf numFmtId="164" fontId="24" fillId="6" borderId="3" xfId="0" applyNumberFormat="1" applyFont="1" applyFill="1" applyBorder="1"/>
    <xf numFmtId="164" fontId="24" fillId="6" borderId="17" xfId="0" applyNumberFormat="1" applyFont="1" applyFill="1" applyBorder="1"/>
    <xf numFmtId="0" fontId="27" fillId="7" borderId="16" xfId="0" applyFont="1" applyFill="1" applyBorder="1" applyAlignment="1">
      <alignment horizontal="left"/>
    </xf>
    <xf numFmtId="164" fontId="24" fillId="7" borderId="3" xfId="0" applyNumberFormat="1" applyFont="1" applyFill="1" applyBorder="1"/>
    <xf numFmtId="164" fontId="24" fillId="7" borderId="17" xfId="0" applyNumberFormat="1" applyFont="1" applyFill="1" applyBorder="1"/>
    <xf numFmtId="0" fontId="27" fillId="8" borderId="16" xfId="0" applyFont="1" applyFill="1" applyBorder="1" applyAlignment="1">
      <alignment horizontal="left"/>
    </xf>
    <xf numFmtId="164" fontId="24" fillId="8" borderId="3" xfId="0" applyNumberFormat="1" applyFont="1" applyFill="1" applyBorder="1"/>
    <xf numFmtId="164" fontId="24" fillId="8" borderId="17" xfId="0" applyNumberFormat="1" applyFont="1" applyFill="1" applyBorder="1"/>
    <xf numFmtId="0" fontId="27" fillId="9" borderId="18" xfId="0" applyFont="1" applyFill="1" applyBorder="1" applyAlignment="1">
      <alignment horizontal="left"/>
    </xf>
    <xf numFmtId="164" fontId="24" fillId="9" borderId="19" xfId="0" applyNumberFormat="1" applyFont="1" applyFill="1" applyBorder="1"/>
    <xf numFmtId="164" fontId="24" fillId="9" borderId="20" xfId="0" applyNumberFormat="1" applyFont="1" applyFill="1" applyBorder="1"/>
    <xf numFmtId="0" fontId="31" fillId="0" borderId="0" xfId="0" applyFont="1" applyAlignment="1">
      <alignment horizontal="left" vertical="center"/>
    </xf>
    <xf numFmtId="0" fontId="22" fillId="0" borderId="0" xfId="0" quotePrefix="1" applyNumberFormat="1" applyFont="1" applyAlignment="1">
      <alignment horizontal="center" vertical="center"/>
    </xf>
    <xf numFmtId="0" fontId="27" fillId="6" borderId="16" xfId="0" applyFont="1" applyFill="1" applyBorder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75">
    <dxf>
      <font>
        <color rgb="FFC00000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0" tint="-0.14999847407452621"/>
        </patternFill>
      </fill>
    </dxf>
    <dxf>
      <font>
        <color rgb="FFC00000"/>
      </font>
    </dxf>
    <dxf>
      <font>
        <color theme="1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C0000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  <dxf>
      <font>
        <name val="Times New Roman"/>
        <family val="1"/>
      </font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yan Jaiswal" refreshedDate="45989.483963310187" createdVersion="8" refreshedVersion="8" minRefreshableVersion="3" recordCount="43" xr:uid="{3E3481A0-FACD-4DA4-8DDE-810ACB7751CB}">
  <cacheSource type="worksheet">
    <worksheetSource ref="B6:J49" sheet="Raw data"/>
  </cacheSource>
  <cacheFields count="9">
    <cacheField name="Date" numFmtId="14">
      <sharedItems containsSemiMixedTypes="0" containsNonDate="0" containsDate="1" containsString="0" minDate="2007-01-06T00:00:00" maxDate="2008-12-22T00:00:00"/>
    </cacheField>
    <cacheField name="Year" numFmtId="1">
      <sharedItems containsSemiMixedTypes="0" containsString="0" containsNumber="1" containsInteger="1" minValue="2007" maxValue="2008"/>
    </cacheField>
    <cacheField name="Month" numFmtId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Region" numFmtId="0">
      <sharedItems count="3">
        <s v="Quebec"/>
        <s v="Ontario"/>
        <s v="Alberta"/>
      </sharedItems>
    </cacheField>
    <cacheField name="Employee" numFmtId="0">
      <sharedItems/>
    </cacheField>
    <cacheField name="Item" numFmtId="0">
      <sharedItems count="5">
        <s v="Pencil"/>
        <s v="Binder"/>
        <s v="Pen"/>
        <s v="Desk"/>
        <s v="Pen Set"/>
      </sharedItems>
    </cacheField>
    <cacheField name="Units" numFmtId="0">
      <sharedItems containsSemiMixedTypes="0" containsString="0" containsNumber="1" containsInteger="1" minValue="2" maxValue="96"/>
    </cacheField>
    <cacheField name="Unit Cost" numFmtId="164">
      <sharedItems containsSemiMixedTypes="0" containsString="0" containsNumber="1" minValue="1.29" maxValue="275"/>
    </cacheField>
    <cacheField name="Total" numFmtId="164">
      <sharedItems containsSemiMixedTypes="0" containsString="0" containsNumber="1" minValue="9.0300000000000011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d v="2007-01-06T00:00:00"/>
    <n v="2007"/>
    <x v="0"/>
    <x v="0"/>
    <s v="Jones"/>
    <x v="0"/>
    <n v="95"/>
    <n v="1.99"/>
    <n v="189.05"/>
  </r>
  <r>
    <d v="2007-01-23T00:00:00"/>
    <n v="2007"/>
    <x v="0"/>
    <x v="1"/>
    <s v="Kivell"/>
    <x v="1"/>
    <n v="50"/>
    <n v="19.989999999999998"/>
    <n v="999.49999999999989"/>
  </r>
  <r>
    <d v="2007-02-09T00:00:00"/>
    <n v="2007"/>
    <x v="1"/>
    <x v="1"/>
    <s v="Howard"/>
    <x v="0"/>
    <n v="36"/>
    <n v="4.99"/>
    <n v="179.64000000000001"/>
  </r>
  <r>
    <d v="2007-02-26T00:00:00"/>
    <n v="2007"/>
    <x v="1"/>
    <x v="1"/>
    <s v="Gill"/>
    <x v="2"/>
    <n v="27"/>
    <n v="19.989999999999998"/>
    <n v="539.7299999999999"/>
  </r>
  <r>
    <d v="2007-03-15T00:00:00"/>
    <n v="2007"/>
    <x v="2"/>
    <x v="2"/>
    <s v="Sorvino"/>
    <x v="0"/>
    <n v="56"/>
    <n v="2.99"/>
    <n v="167.44"/>
  </r>
  <r>
    <d v="2007-04-01T00:00:00"/>
    <n v="2007"/>
    <x v="3"/>
    <x v="0"/>
    <s v="Jones"/>
    <x v="1"/>
    <n v="60"/>
    <n v="4.99"/>
    <n v="299.40000000000003"/>
  </r>
  <r>
    <d v="2007-04-18T00:00:00"/>
    <n v="2007"/>
    <x v="3"/>
    <x v="1"/>
    <s v="Andrews"/>
    <x v="0"/>
    <n v="75"/>
    <n v="1.99"/>
    <n v="149.25"/>
  </r>
  <r>
    <d v="2007-05-05T00:00:00"/>
    <n v="2007"/>
    <x v="4"/>
    <x v="1"/>
    <s v="Howard"/>
    <x v="0"/>
    <n v="90"/>
    <n v="4.99"/>
    <n v="449.1"/>
  </r>
  <r>
    <d v="2007-05-22T00:00:00"/>
    <n v="2007"/>
    <x v="4"/>
    <x v="2"/>
    <s v="Thompson"/>
    <x v="0"/>
    <n v="32"/>
    <n v="1.99"/>
    <n v="63.68"/>
  </r>
  <r>
    <d v="2007-06-08T00:00:00"/>
    <n v="2007"/>
    <x v="5"/>
    <x v="0"/>
    <s v="Jones"/>
    <x v="1"/>
    <n v="60"/>
    <n v="8.99"/>
    <n v="539.4"/>
  </r>
  <r>
    <d v="2007-06-25T00:00:00"/>
    <n v="2007"/>
    <x v="5"/>
    <x v="1"/>
    <s v="Morgan"/>
    <x v="0"/>
    <n v="90"/>
    <n v="4.99"/>
    <n v="449.1"/>
  </r>
  <r>
    <d v="2007-07-12T00:00:00"/>
    <n v="2007"/>
    <x v="6"/>
    <x v="0"/>
    <s v="Howard"/>
    <x v="1"/>
    <n v="29"/>
    <n v="1.99"/>
    <n v="57.71"/>
  </r>
  <r>
    <d v="2007-07-29T00:00:00"/>
    <n v="2007"/>
    <x v="6"/>
    <x v="0"/>
    <s v="Parent"/>
    <x v="1"/>
    <n v="81"/>
    <n v="19.989999999999998"/>
    <n v="1619.1899999999998"/>
  </r>
  <r>
    <d v="2007-08-15T00:00:00"/>
    <n v="2007"/>
    <x v="7"/>
    <x v="0"/>
    <s v="Jones"/>
    <x v="0"/>
    <n v="35"/>
    <n v="4.99"/>
    <n v="174.65"/>
  </r>
  <r>
    <d v="2007-09-01T00:00:00"/>
    <n v="2007"/>
    <x v="8"/>
    <x v="1"/>
    <s v="Smith"/>
    <x v="3"/>
    <n v="2"/>
    <n v="125"/>
    <n v="250"/>
  </r>
  <r>
    <d v="2007-09-18T00:00:00"/>
    <n v="2007"/>
    <x v="8"/>
    <x v="0"/>
    <s v="Jones"/>
    <x v="4"/>
    <n v="16"/>
    <n v="15.99"/>
    <n v="255.84"/>
  </r>
  <r>
    <d v="2007-10-05T00:00:00"/>
    <n v="2007"/>
    <x v="9"/>
    <x v="1"/>
    <s v="Morgan"/>
    <x v="1"/>
    <n v="28"/>
    <n v="8.99"/>
    <n v="251.72"/>
  </r>
  <r>
    <d v="2007-10-22T00:00:00"/>
    <n v="2007"/>
    <x v="9"/>
    <x v="0"/>
    <s v="Jones"/>
    <x v="2"/>
    <n v="64"/>
    <n v="8.99"/>
    <n v="575.36"/>
  </r>
  <r>
    <d v="2007-11-08T00:00:00"/>
    <n v="2007"/>
    <x v="10"/>
    <x v="0"/>
    <s v="Parent"/>
    <x v="2"/>
    <n v="15"/>
    <n v="19.989999999999998"/>
    <n v="299.84999999999997"/>
  </r>
  <r>
    <d v="2007-11-25T00:00:00"/>
    <n v="2007"/>
    <x v="10"/>
    <x v="1"/>
    <s v="Kivell"/>
    <x v="4"/>
    <n v="96"/>
    <n v="4.99"/>
    <n v="479.04"/>
  </r>
  <r>
    <d v="2007-12-12T00:00:00"/>
    <n v="2007"/>
    <x v="11"/>
    <x v="1"/>
    <s v="Smith"/>
    <x v="0"/>
    <n v="67"/>
    <n v="1.29"/>
    <n v="86.43"/>
  </r>
  <r>
    <d v="2007-12-29T00:00:00"/>
    <n v="2007"/>
    <x v="11"/>
    <x v="0"/>
    <s v="Parent"/>
    <x v="4"/>
    <n v="74"/>
    <n v="15.99"/>
    <n v="1183.26"/>
  </r>
  <r>
    <d v="2008-01-15T00:00:00"/>
    <n v="2008"/>
    <x v="0"/>
    <x v="1"/>
    <s v="Gill"/>
    <x v="1"/>
    <n v="46"/>
    <n v="8.99"/>
    <n v="413.54"/>
  </r>
  <r>
    <d v="2008-02-01T00:00:00"/>
    <n v="2008"/>
    <x v="1"/>
    <x v="1"/>
    <s v="Smith"/>
    <x v="1"/>
    <n v="87"/>
    <n v="15"/>
    <n v="1305"/>
  </r>
  <r>
    <d v="2008-02-18T00:00:00"/>
    <n v="2008"/>
    <x v="1"/>
    <x v="0"/>
    <s v="Jones"/>
    <x v="1"/>
    <n v="4"/>
    <n v="4.99"/>
    <n v="19.96"/>
  </r>
  <r>
    <d v="2008-03-07T00:00:00"/>
    <n v="2008"/>
    <x v="2"/>
    <x v="2"/>
    <s v="Sorvino"/>
    <x v="1"/>
    <n v="7"/>
    <n v="19.989999999999998"/>
    <n v="139.92999999999998"/>
  </r>
  <r>
    <d v="2008-03-24T00:00:00"/>
    <n v="2008"/>
    <x v="2"/>
    <x v="1"/>
    <s v="Howard"/>
    <x v="4"/>
    <n v="50"/>
    <n v="4.99"/>
    <n v="249.5"/>
  </r>
  <r>
    <d v="2008-04-10T00:00:00"/>
    <n v="2008"/>
    <x v="3"/>
    <x v="1"/>
    <s v="Gill"/>
    <x v="0"/>
    <n v="66"/>
    <n v="1.99"/>
    <n v="131.34"/>
  </r>
  <r>
    <d v="2008-04-27T00:00:00"/>
    <n v="2008"/>
    <x v="3"/>
    <x v="0"/>
    <s v="Howard"/>
    <x v="2"/>
    <n v="96"/>
    <n v="4.99"/>
    <n v="479.04"/>
  </r>
  <r>
    <d v="2008-05-14T00:00:00"/>
    <n v="2008"/>
    <x v="4"/>
    <x v="1"/>
    <s v="Gill"/>
    <x v="0"/>
    <n v="53"/>
    <n v="1.29"/>
    <n v="68.37"/>
  </r>
  <r>
    <d v="2008-05-31T00:00:00"/>
    <n v="2008"/>
    <x v="4"/>
    <x v="1"/>
    <s v="Gill"/>
    <x v="1"/>
    <n v="80"/>
    <n v="8.99"/>
    <n v="719.2"/>
  </r>
  <r>
    <d v="2008-06-17T00:00:00"/>
    <n v="2008"/>
    <x v="5"/>
    <x v="1"/>
    <s v="Kivell"/>
    <x v="3"/>
    <n v="5"/>
    <n v="125"/>
    <n v="625"/>
  </r>
  <r>
    <d v="2008-07-04T00:00:00"/>
    <n v="2008"/>
    <x v="6"/>
    <x v="0"/>
    <s v="Jones"/>
    <x v="4"/>
    <n v="62"/>
    <n v="4.99"/>
    <n v="309.38"/>
  </r>
  <r>
    <d v="2008-07-21T00:00:00"/>
    <n v="2008"/>
    <x v="6"/>
    <x v="1"/>
    <s v="Morgan"/>
    <x v="4"/>
    <n v="55"/>
    <n v="12.49"/>
    <n v="686.95"/>
  </r>
  <r>
    <d v="2008-08-07T00:00:00"/>
    <n v="2008"/>
    <x v="7"/>
    <x v="1"/>
    <s v="Kivell"/>
    <x v="4"/>
    <n v="42"/>
    <n v="23.95"/>
    <n v="1005.9"/>
  </r>
  <r>
    <d v="2008-08-24T00:00:00"/>
    <n v="2008"/>
    <x v="7"/>
    <x v="2"/>
    <s v="Sorvino"/>
    <x v="3"/>
    <n v="3"/>
    <n v="275"/>
    <n v="825"/>
  </r>
  <r>
    <d v="2008-09-10T00:00:00"/>
    <n v="2008"/>
    <x v="8"/>
    <x v="1"/>
    <s v="Gill"/>
    <x v="0"/>
    <n v="7"/>
    <n v="1.29"/>
    <n v="9.0300000000000011"/>
  </r>
  <r>
    <d v="2008-09-27T00:00:00"/>
    <n v="2008"/>
    <x v="8"/>
    <x v="2"/>
    <s v="Sorvino"/>
    <x v="2"/>
    <n v="76"/>
    <n v="1.99"/>
    <n v="151.24"/>
  </r>
  <r>
    <d v="2008-10-14T00:00:00"/>
    <n v="2008"/>
    <x v="9"/>
    <x v="2"/>
    <s v="Thompson"/>
    <x v="1"/>
    <n v="57"/>
    <n v="19.989999999999998"/>
    <n v="1139.4299999999998"/>
  </r>
  <r>
    <d v="2008-10-31T00:00:00"/>
    <n v="2008"/>
    <x v="9"/>
    <x v="1"/>
    <s v="Gill"/>
    <x v="0"/>
    <n v="14"/>
    <n v="1.29"/>
    <n v="18.060000000000002"/>
  </r>
  <r>
    <d v="2008-11-17T00:00:00"/>
    <n v="2008"/>
    <x v="10"/>
    <x v="1"/>
    <s v="Howard"/>
    <x v="1"/>
    <n v="11"/>
    <n v="4.99"/>
    <n v="54.89"/>
  </r>
  <r>
    <d v="2008-12-04T00:00:00"/>
    <n v="2008"/>
    <x v="11"/>
    <x v="1"/>
    <s v="Howard"/>
    <x v="1"/>
    <n v="94"/>
    <n v="19.989999999999998"/>
    <n v="1879.06"/>
  </r>
  <r>
    <d v="2008-12-21T00:00:00"/>
    <n v="2008"/>
    <x v="11"/>
    <x v="1"/>
    <s v="Gill"/>
    <x v="1"/>
    <n v="28"/>
    <n v="4.99"/>
    <n v="139.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003215-9A0C-425B-94D7-F26BC59B1EF4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20:D25" firstHeaderRow="1" firstDataRow="1" firstDataCol="1" rowPageCount="1" colPageCount="1"/>
  <pivotFields count="9">
    <pivotField numFmtId="14" showAll="0"/>
    <pivotField numFmtId="1" showAll="0"/>
    <pivotField showAll="0"/>
    <pivotField axis="axisPage" showAll="0">
      <items count="4">
        <item x="2"/>
        <item x="1"/>
        <item x="0"/>
        <item t="default"/>
      </items>
    </pivotField>
    <pivotField dataField="1"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numFmtId="164" showAll="0"/>
    <pivotField numFmtId="16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3" item="2" hier="-1"/>
  </pageFields>
  <dataFields count="1">
    <dataField name="Count of Employe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3910B-17FE-406C-8CD5-B64932980C6A}" name="PivotTable1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7:O13" firstHeaderRow="1" firstDataRow="2" firstDataCol="1"/>
  <pivotFields count="9">
    <pivotField numFmtId="14" showAll="0"/>
    <pivotField numFmtId="1"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numFmtId="164" showAll="0"/>
    <pivotField dataField="1" numFmtId="164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Fields count="1">
    <field x="2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Sum of Total" fld="8" baseField="0" baseItem="0" numFmtId="164"/>
  </dataFields>
  <formats count="33">
    <format dxfId="74">
      <pivotArea type="all" dataOnly="0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2" type="button" dataOnly="0" labelOnly="1" outline="0" axis="axisCol" fieldPosition="0"/>
    </format>
    <format dxfId="70">
      <pivotArea type="topRight" dataOnly="0" labelOnly="1" outline="0" fieldPosition="0"/>
    </format>
    <format dxfId="69">
      <pivotArea field="5" type="button" dataOnly="0" labelOnly="1" outline="0" axis="axisRow" fieldPosition="0"/>
    </format>
    <format dxfId="68">
      <pivotArea dataOnly="0" labelOnly="1" fieldPosition="0">
        <references count="1">
          <reference field="5" count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1">
          <reference field="2" count="0"/>
        </references>
      </pivotArea>
    </format>
    <format dxfId="65">
      <pivotArea dataOnly="0" labelOnly="1" grandCol="1" outline="0" fieldPosition="0"/>
    </format>
    <format dxfId="5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2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5" type="button" dataOnly="0" labelOnly="1" outline="0" axis="axisRow" fieldPosition="0"/>
    </format>
    <format dxfId="38">
      <pivotArea dataOnly="0" labelOnly="1" fieldPosition="0">
        <references count="1">
          <reference field="5" count="0"/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grandCol="1" outline="0" fieldPosition="0"/>
    </format>
    <format dxfId="14">
      <pivotArea type="all" dataOnly="0" outline="0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fieldPosition="0">
        <references count="1">
          <reference field="5" count="0"/>
        </references>
      </pivotArea>
    </format>
    <format dxfId="10">
      <pivotArea type="origin" dataOnly="0" labelOnly="1" outline="0" fieldPosition="0"/>
    </format>
    <format dxfId="9">
      <pivotArea field="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fieldPosition="0">
        <references count="1">
          <reference field="5" count="1">
            <x v="0"/>
          </reference>
        </references>
      </pivotArea>
    </format>
    <format dxfId="6">
      <pivotArea dataOnly="0" fieldPosition="0">
        <references count="1">
          <reference field="5" count="1">
            <x v="1"/>
          </reference>
        </references>
      </pivotArea>
    </format>
    <format dxfId="4">
      <pivotArea dataOnly="0" fieldPosition="0">
        <references count="1">
          <reference field="5" count="1">
            <x v="1"/>
          </reference>
        </references>
      </pivotArea>
    </format>
    <format dxfId="3">
      <pivotArea dataOnly="0" fieldPosition="0">
        <references count="1">
          <reference field="5" count="1">
            <x v="2"/>
          </reference>
        </references>
      </pivotArea>
    </format>
    <format dxfId="2">
      <pivotArea dataOnly="0" fieldPosition="0">
        <references count="1">
          <reference field="5" count="1">
            <x v="3"/>
          </reference>
        </references>
      </pivotArea>
    </format>
    <format dxfId="1">
      <pivotArea dataOnly="0" fieldPosition="0">
        <references count="1">
          <reference field="5" count="1">
            <x v="4"/>
          </reference>
        </references>
      </pivotArea>
    </format>
    <format dxfId="0">
      <pivotArea dataOnly="0" labelOnly="1" fieldPosition="0">
        <references count="1">
          <reference field="5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91"/>
  <sheetViews>
    <sheetView showGridLines="0" showRowColHeaders="0" topLeftCell="A26" zoomScale="115" zoomScaleNormal="115" workbookViewId="0">
      <selection activeCell="E38" sqref="E38:G38"/>
    </sheetView>
  </sheetViews>
  <sheetFormatPr defaultColWidth="9.28515625" defaultRowHeight="15" customHeight="1" x14ac:dyDescent="0.45"/>
  <cols>
    <col min="1" max="1" width="3.28515625" style="2" customWidth="1"/>
    <col min="2" max="2" width="19" style="1" customWidth="1"/>
    <col min="3" max="3" width="18.42578125" style="3" customWidth="1"/>
    <col min="4" max="4" width="18.7109375" style="4" customWidth="1"/>
    <col min="5" max="5" width="19.42578125" style="4" customWidth="1"/>
    <col min="6" max="8" width="17" style="1" customWidth="1"/>
    <col min="9" max="9" width="9.28515625" style="1"/>
    <col min="10" max="10" width="11" style="1" bestFit="1" customWidth="1"/>
    <col min="11" max="11" width="13.7109375" style="1" bestFit="1" customWidth="1"/>
    <col min="12" max="16384" width="9.28515625" style="1"/>
  </cols>
  <sheetData>
    <row r="1" spans="1:15" s="22" customFormat="1" ht="4.95" customHeight="1" x14ac:dyDescent="0.45">
      <c r="A1" s="18"/>
      <c r="B1" s="19"/>
      <c r="C1" s="21"/>
      <c r="D1" s="21"/>
      <c r="E1" s="19"/>
      <c r="F1" s="20"/>
      <c r="G1" s="20"/>
      <c r="H1" s="21"/>
      <c r="I1" s="19"/>
      <c r="J1" s="20"/>
      <c r="K1" s="20"/>
      <c r="L1" s="20"/>
      <c r="M1" s="20"/>
      <c r="N1" s="20"/>
    </row>
    <row r="2" spans="1:15" s="22" customFormat="1" ht="19.2" x14ac:dyDescent="0.45">
      <c r="A2" s="18"/>
      <c r="B2" s="23" t="s">
        <v>46</v>
      </c>
      <c r="C2" s="24"/>
      <c r="D2" s="25"/>
      <c r="E2" s="25"/>
      <c r="F2" s="26"/>
      <c r="G2" s="24"/>
      <c r="H2" s="24"/>
      <c r="I2" s="25"/>
      <c r="J2" s="26"/>
      <c r="K2" s="24"/>
      <c r="L2" s="24"/>
      <c r="M2" s="24"/>
      <c r="N2" s="24"/>
      <c r="O2" s="27"/>
    </row>
    <row r="3" spans="1:15" s="22" customFormat="1" ht="19.8" thickBot="1" x14ac:dyDescent="0.5">
      <c r="A3" s="18"/>
      <c r="B3" s="33" t="s">
        <v>45</v>
      </c>
      <c r="C3" s="34"/>
      <c r="D3" s="29"/>
      <c r="E3" s="29"/>
      <c r="F3" s="30"/>
      <c r="G3" s="28"/>
      <c r="H3" s="28"/>
      <c r="I3" s="29"/>
      <c r="J3" s="30"/>
      <c r="K3" s="28"/>
      <c r="L3" s="28"/>
      <c r="M3" s="28"/>
      <c r="N3" s="28"/>
      <c r="O3" s="31"/>
    </row>
    <row r="4" spans="1:15" s="22" customFormat="1" ht="4.95" customHeight="1" x14ac:dyDescent="0.45">
      <c r="A4" s="18"/>
      <c r="B4" s="32"/>
      <c r="C4" s="24"/>
      <c r="D4" s="25"/>
      <c r="E4" s="25"/>
      <c r="F4" s="26"/>
      <c r="G4" s="24"/>
      <c r="H4" s="24"/>
      <c r="I4" s="25"/>
      <c r="J4" s="26"/>
      <c r="K4" s="24"/>
      <c r="L4" s="24"/>
      <c r="M4" s="24"/>
      <c r="N4" s="24"/>
      <c r="O4" s="27"/>
    </row>
    <row r="5" spans="1:15" ht="15" customHeight="1" x14ac:dyDescent="0.4">
      <c r="A5" s="3"/>
      <c r="B5" s="3"/>
      <c r="C5" s="4"/>
      <c r="E5" s="3"/>
      <c r="F5" s="3"/>
      <c r="G5" s="3"/>
      <c r="H5" s="3"/>
    </row>
    <row r="6" spans="1:15" ht="15" customHeight="1" x14ac:dyDescent="0.45">
      <c r="B6" s="5" t="s">
        <v>1</v>
      </c>
      <c r="C6" s="5" t="s">
        <v>59</v>
      </c>
      <c r="D6" s="5" t="s">
        <v>0</v>
      </c>
      <c r="E6" s="6" t="s">
        <v>2</v>
      </c>
      <c r="F6" s="7" t="s">
        <v>3</v>
      </c>
      <c r="G6" s="7" t="s">
        <v>4</v>
      </c>
      <c r="H6" s="6" t="s">
        <v>5</v>
      </c>
      <c r="I6" s="11" t="s">
        <v>6</v>
      </c>
      <c r="J6" s="11" t="s">
        <v>7</v>
      </c>
    </row>
    <row r="7" spans="1:15" ht="15" customHeight="1" x14ac:dyDescent="0.45">
      <c r="B7" s="8">
        <v>39088</v>
      </c>
      <c r="C7" s="37">
        <f>YEAR(B7)</f>
        <v>2007</v>
      </c>
      <c r="D7" s="37" t="str">
        <f>TEXT(B7,"MMM")</f>
        <v>Jan</v>
      </c>
      <c r="E7" s="9" t="s">
        <v>8</v>
      </c>
      <c r="F7" s="10" t="s">
        <v>9</v>
      </c>
      <c r="G7" s="10" t="s">
        <v>10</v>
      </c>
      <c r="H7" s="9">
        <v>95</v>
      </c>
      <c r="I7" s="12">
        <v>1.99</v>
      </c>
      <c r="J7" s="12">
        <v>189.05</v>
      </c>
      <c r="K7" s="36"/>
      <c r="M7" s="38"/>
      <c r="N7" s="36"/>
    </row>
    <row r="8" spans="1:15" ht="15" customHeight="1" x14ac:dyDescent="0.45">
      <c r="B8" s="8">
        <v>39105</v>
      </c>
      <c r="C8" s="37">
        <f t="shared" ref="C8:C49" si="0">YEAR(B8)</f>
        <v>2007</v>
      </c>
      <c r="D8" s="37" t="str">
        <f t="shared" ref="D8:D49" si="1">TEXT(B8,"MMM")</f>
        <v>Jan</v>
      </c>
      <c r="E8" s="9" t="s">
        <v>11</v>
      </c>
      <c r="F8" s="10" t="s">
        <v>12</v>
      </c>
      <c r="G8" s="10" t="s">
        <v>13</v>
      </c>
      <c r="H8" s="9">
        <v>50</v>
      </c>
      <c r="I8" s="12">
        <v>19.989999999999998</v>
      </c>
      <c r="J8" s="12">
        <v>999.49999999999989</v>
      </c>
      <c r="K8" s="36"/>
      <c r="N8" s="36"/>
    </row>
    <row r="9" spans="1:15" ht="15" customHeight="1" x14ac:dyDescent="0.45">
      <c r="B9" s="8">
        <v>39122</v>
      </c>
      <c r="C9" s="37">
        <f t="shared" si="0"/>
        <v>2007</v>
      </c>
      <c r="D9" s="37" t="str">
        <f t="shared" si="1"/>
        <v>Feb</v>
      </c>
      <c r="E9" s="9" t="s">
        <v>11</v>
      </c>
      <c r="F9" s="10" t="s">
        <v>14</v>
      </c>
      <c r="G9" s="10" t="s">
        <v>10</v>
      </c>
      <c r="H9" s="9">
        <v>36</v>
      </c>
      <c r="I9" s="12">
        <v>4.99</v>
      </c>
      <c r="J9" s="12">
        <v>179.64000000000001</v>
      </c>
      <c r="K9" s="36"/>
      <c r="N9" s="36"/>
    </row>
    <row r="10" spans="1:15" ht="15" customHeight="1" x14ac:dyDescent="0.45">
      <c r="B10" s="8">
        <v>39139</v>
      </c>
      <c r="C10" s="37">
        <f t="shared" si="0"/>
        <v>2007</v>
      </c>
      <c r="D10" s="37" t="str">
        <f t="shared" si="1"/>
        <v>Feb</v>
      </c>
      <c r="E10" s="9" t="s">
        <v>11</v>
      </c>
      <c r="F10" s="10" t="s">
        <v>15</v>
      </c>
      <c r="G10" s="10" t="s">
        <v>16</v>
      </c>
      <c r="H10" s="9">
        <v>27</v>
      </c>
      <c r="I10" s="12">
        <v>19.989999999999998</v>
      </c>
      <c r="J10" s="12">
        <v>539.7299999999999</v>
      </c>
      <c r="K10" s="36"/>
      <c r="N10" s="36"/>
    </row>
    <row r="11" spans="1:15" ht="19.2" x14ac:dyDescent="0.45">
      <c r="B11" s="8">
        <v>39156</v>
      </c>
      <c r="C11" s="37">
        <f t="shared" si="0"/>
        <v>2007</v>
      </c>
      <c r="D11" s="37" t="str">
        <f t="shared" si="1"/>
        <v>Mar</v>
      </c>
      <c r="E11" s="9" t="s">
        <v>17</v>
      </c>
      <c r="F11" s="10" t="s">
        <v>18</v>
      </c>
      <c r="G11" s="10" t="s">
        <v>10</v>
      </c>
      <c r="H11" s="9">
        <v>56</v>
      </c>
      <c r="I11" s="12">
        <v>2.99</v>
      </c>
      <c r="J11" s="12">
        <v>167.44</v>
      </c>
      <c r="K11" s="36"/>
      <c r="N11" s="36"/>
    </row>
    <row r="12" spans="1:15" ht="15" customHeight="1" x14ac:dyDescent="0.45">
      <c r="B12" s="8">
        <v>39173</v>
      </c>
      <c r="C12" s="37">
        <f t="shared" si="0"/>
        <v>2007</v>
      </c>
      <c r="D12" s="37" t="str">
        <f t="shared" si="1"/>
        <v>Apr</v>
      </c>
      <c r="E12" s="9" t="s">
        <v>8</v>
      </c>
      <c r="F12" s="10" t="s">
        <v>9</v>
      </c>
      <c r="G12" s="10" t="s">
        <v>13</v>
      </c>
      <c r="H12" s="9">
        <v>60</v>
      </c>
      <c r="I12" s="12">
        <v>4.99</v>
      </c>
      <c r="J12" s="12">
        <v>299.40000000000003</v>
      </c>
      <c r="K12" s="36"/>
      <c r="N12" s="36"/>
    </row>
    <row r="13" spans="1:15" ht="15" customHeight="1" x14ac:dyDescent="0.45">
      <c r="B13" s="8">
        <v>39190</v>
      </c>
      <c r="C13" s="37">
        <f t="shared" si="0"/>
        <v>2007</v>
      </c>
      <c r="D13" s="37" t="str">
        <f t="shared" si="1"/>
        <v>Apr</v>
      </c>
      <c r="E13" s="9" t="s">
        <v>11</v>
      </c>
      <c r="F13" s="10" t="s">
        <v>19</v>
      </c>
      <c r="G13" s="10" t="s">
        <v>10</v>
      </c>
      <c r="H13" s="9">
        <v>75</v>
      </c>
      <c r="I13" s="12">
        <v>1.99</v>
      </c>
      <c r="J13" s="12">
        <v>149.25</v>
      </c>
      <c r="K13" s="36"/>
      <c r="N13" s="36"/>
    </row>
    <row r="14" spans="1:15" ht="15" customHeight="1" x14ac:dyDescent="0.45">
      <c r="B14" s="8">
        <v>39207</v>
      </c>
      <c r="C14" s="37">
        <f t="shared" si="0"/>
        <v>2007</v>
      </c>
      <c r="D14" s="37" t="str">
        <f t="shared" si="1"/>
        <v>May</v>
      </c>
      <c r="E14" s="9" t="s">
        <v>11</v>
      </c>
      <c r="F14" s="10" t="s">
        <v>14</v>
      </c>
      <c r="G14" s="10" t="s">
        <v>10</v>
      </c>
      <c r="H14" s="9">
        <v>90</v>
      </c>
      <c r="I14" s="12">
        <v>4.99</v>
      </c>
      <c r="J14" s="12">
        <v>449.1</v>
      </c>
      <c r="K14" s="36"/>
      <c r="N14" s="36"/>
    </row>
    <row r="15" spans="1:15" ht="15" customHeight="1" x14ac:dyDescent="0.45">
      <c r="B15" s="8">
        <v>39224</v>
      </c>
      <c r="C15" s="37">
        <f t="shared" si="0"/>
        <v>2007</v>
      </c>
      <c r="D15" s="37" t="str">
        <f t="shared" si="1"/>
        <v>May</v>
      </c>
      <c r="E15" s="9" t="s">
        <v>17</v>
      </c>
      <c r="F15" s="10" t="s">
        <v>20</v>
      </c>
      <c r="G15" s="10" t="s">
        <v>10</v>
      </c>
      <c r="H15" s="9">
        <v>32</v>
      </c>
      <c r="I15" s="12">
        <v>1.99</v>
      </c>
      <c r="J15" s="12">
        <v>63.68</v>
      </c>
      <c r="K15" s="36"/>
      <c r="N15" s="36"/>
    </row>
    <row r="16" spans="1:15" ht="15" customHeight="1" x14ac:dyDescent="0.45">
      <c r="B16" s="8">
        <v>39241</v>
      </c>
      <c r="C16" s="37">
        <f t="shared" si="0"/>
        <v>2007</v>
      </c>
      <c r="D16" s="37" t="str">
        <f t="shared" si="1"/>
        <v>Jun</v>
      </c>
      <c r="E16" s="9" t="s">
        <v>8</v>
      </c>
      <c r="F16" s="10" t="s">
        <v>9</v>
      </c>
      <c r="G16" s="10" t="s">
        <v>13</v>
      </c>
      <c r="H16" s="9">
        <v>60</v>
      </c>
      <c r="I16" s="12">
        <v>8.99</v>
      </c>
      <c r="J16" s="12">
        <v>539.4</v>
      </c>
      <c r="K16" s="36"/>
      <c r="N16" s="36"/>
    </row>
    <row r="17" spans="2:14" ht="15" customHeight="1" x14ac:dyDescent="0.45">
      <c r="B17" s="8">
        <v>39258</v>
      </c>
      <c r="C17" s="37">
        <f t="shared" si="0"/>
        <v>2007</v>
      </c>
      <c r="D17" s="37" t="str">
        <f t="shared" si="1"/>
        <v>Jun</v>
      </c>
      <c r="E17" s="9" t="s">
        <v>11</v>
      </c>
      <c r="F17" s="10" t="s">
        <v>21</v>
      </c>
      <c r="G17" s="10" t="s">
        <v>10</v>
      </c>
      <c r="H17" s="9">
        <v>90</v>
      </c>
      <c r="I17" s="12">
        <v>4.99</v>
      </c>
      <c r="J17" s="12">
        <v>449.1</v>
      </c>
      <c r="K17" s="36"/>
      <c r="N17" s="36"/>
    </row>
    <row r="18" spans="2:14" ht="15" customHeight="1" x14ac:dyDescent="0.45">
      <c r="B18" s="8">
        <v>39275</v>
      </c>
      <c r="C18" s="37">
        <f t="shared" si="0"/>
        <v>2007</v>
      </c>
      <c r="D18" s="37" t="str">
        <f t="shared" si="1"/>
        <v>Jul</v>
      </c>
      <c r="E18" s="9" t="s">
        <v>8</v>
      </c>
      <c r="F18" s="10" t="s">
        <v>14</v>
      </c>
      <c r="G18" s="10" t="s">
        <v>13</v>
      </c>
      <c r="H18" s="9">
        <v>29</v>
      </c>
      <c r="I18" s="12">
        <v>1.99</v>
      </c>
      <c r="J18" s="12">
        <v>57.71</v>
      </c>
      <c r="K18" s="36"/>
      <c r="N18" s="36"/>
    </row>
    <row r="19" spans="2:14" ht="15" customHeight="1" x14ac:dyDescent="0.45">
      <c r="B19" s="8">
        <v>39292</v>
      </c>
      <c r="C19" s="37">
        <f t="shared" si="0"/>
        <v>2007</v>
      </c>
      <c r="D19" s="37" t="str">
        <f t="shared" si="1"/>
        <v>Jul</v>
      </c>
      <c r="E19" s="9" t="s">
        <v>8</v>
      </c>
      <c r="F19" s="10" t="s">
        <v>22</v>
      </c>
      <c r="G19" s="10" t="s">
        <v>13</v>
      </c>
      <c r="H19" s="9">
        <v>81</v>
      </c>
      <c r="I19" s="12">
        <v>19.989999999999998</v>
      </c>
      <c r="J19" s="12">
        <v>1619.1899999999998</v>
      </c>
      <c r="K19" s="36"/>
      <c r="N19" s="36"/>
    </row>
    <row r="20" spans="2:14" ht="15" customHeight="1" x14ac:dyDescent="0.45">
      <c r="B20" s="8">
        <v>39309</v>
      </c>
      <c r="C20" s="37">
        <f t="shared" si="0"/>
        <v>2007</v>
      </c>
      <c r="D20" s="37" t="str">
        <f t="shared" si="1"/>
        <v>Aug</v>
      </c>
      <c r="E20" s="9" t="s">
        <v>8</v>
      </c>
      <c r="F20" s="10" t="s">
        <v>9</v>
      </c>
      <c r="G20" s="10" t="s">
        <v>10</v>
      </c>
      <c r="H20" s="9">
        <v>35</v>
      </c>
      <c r="I20" s="12">
        <v>4.99</v>
      </c>
      <c r="J20" s="12">
        <v>174.65</v>
      </c>
      <c r="K20" s="36"/>
      <c r="N20" s="36"/>
    </row>
    <row r="21" spans="2:14" ht="15" customHeight="1" x14ac:dyDescent="0.45">
      <c r="B21" s="8">
        <v>39326</v>
      </c>
      <c r="C21" s="37">
        <f t="shared" si="0"/>
        <v>2007</v>
      </c>
      <c r="D21" s="37" t="str">
        <f t="shared" si="1"/>
        <v>Sep</v>
      </c>
      <c r="E21" s="9" t="s">
        <v>11</v>
      </c>
      <c r="F21" s="10" t="s">
        <v>23</v>
      </c>
      <c r="G21" s="10" t="s">
        <v>24</v>
      </c>
      <c r="H21" s="9">
        <v>2</v>
      </c>
      <c r="I21" s="12">
        <v>125</v>
      </c>
      <c r="J21" s="12">
        <v>250</v>
      </c>
      <c r="K21" s="36"/>
      <c r="N21" s="36"/>
    </row>
    <row r="22" spans="2:14" ht="15" customHeight="1" x14ac:dyDescent="0.45">
      <c r="B22" s="8">
        <v>39343</v>
      </c>
      <c r="C22" s="37">
        <f t="shared" si="0"/>
        <v>2007</v>
      </c>
      <c r="D22" s="37" t="str">
        <f t="shared" si="1"/>
        <v>Sep</v>
      </c>
      <c r="E22" s="9" t="s">
        <v>8</v>
      </c>
      <c r="F22" s="10" t="s">
        <v>9</v>
      </c>
      <c r="G22" s="10" t="s">
        <v>25</v>
      </c>
      <c r="H22" s="9">
        <v>16</v>
      </c>
      <c r="I22" s="12">
        <v>15.99</v>
      </c>
      <c r="J22" s="12">
        <v>255.84</v>
      </c>
      <c r="K22" s="36"/>
      <c r="N22" s="36"/>
    </row>
    <row r="23" spans="2:14" ht="15" customHeight="1" x14ac:dyDescent="0.45">
      <c r="B23" s="8">
        <v>39360</v>
      </c>
      <c r="C23" s="37">
        <f t="shared" si="0"/>
        <v>2007</v>
      </c>
      <c r="D23" s="37" t="str">
        <f t="shared" si="1"/>
        <v>Oct</v>
      </c>
      <c r="E23" s="9" t="s">
        <v>11</v>
      </c>
      <c r="F23" s="10" t="s">
        <v>21</v>
      </c>
      <c r="G23" s="10" t="s">
        <v>13</v>
      </c>
      <c r="H23" s="9">
        <v>28</v>
      </c>
      <c r="I23" s="12">
        <v>8.99</v>
      </c>
      <c r="J23" s="12">
        <v>251.72</v>
      </c>
      <c r="K23" s="36"/>
      <c r="N23" s="36"/>
    </row>
    <row r="24" spans="2:14" ht="15" customHeight="1" x14ac:dyDescent="0.45">
      <c r="B24" s="8">
        <v>39377</v>
      </c>
      <c r="C24" s="37">
        <f t="shared" si="0"/>
        <v>2007</v>
      </c>
      <c r="D24" s="37" t="str">
        <f t="shared" si="1"/>
        <v>Oct</v>
      </c>
      <c r="E24" s="9" t="s">
        <v>8</v>
      </c>
      <c r="F24" s="10" t="s">
        <v>9</v>
      </c>
      <c r="G24" s="10" t="s">
        <v>16</v>
      </c>
      <c r="H24" s="9">
        <v>64</v>
      </c>
      <c r="I24" s="12">
        <v>8.99</v>
      </c>
      <c r="J24" s="12">
        <v>575.36</v>
      </c>
      <c r="K24" s="36"/>
      <c r="N24" s="36"/>
    </row>
    <row r="25" spans="2:14" ht="15" customHeight="1" x14ac:dyDescent="0.45">
      <c r="B25" s="8">
        <v>39394</v>
      </c>
      <c r="C25" s="37">
        <f t="shared" si="0"/>
        <v>2007</v>
      </c>
      <c r="D25" s="37" t="str">
        <f t="shared" si="1"/>
        <v>Nov</v>
      </c>
      <c r="E25" s="9" t="s">
        <v>8</v>
      </c>
      <c r="F25" s="10" t="s">
        <v>22</v>
      </c>
      <c r="G25" s="10" t="s">
        <v>16</v>
      </c>
      <c r="H25" s="9">
        <v>15</v>
      </c>
      <c r="I25" s="12">
        <v>19.989999999999998</v>
      </c>
      <c r="J25" s="12">
        <v>299.84999999999997</v>
      </c>
      <c r="K25" s="36"/>
      <c r="N25" s="36"/>
    </row>
    <row r="26" spans="2:14" ht="15" customHeight="1" x14ac:dyDescent="0.45">
      <c r="B26" s="8">
        <v>39411</v>
      </c>
      <c r="C26" s="37">
        <f t="shared" si="0"/>
        <v>2007</v>
      </c>
      <c r="D26" s="37" t="str">
        <f t="shared" si="1"/>
        <v>Nov</v>
      </c>
      <c r="E26" s="9" t="s">
        <v>11</v>
      </c>
      <c r="F26" s="10" t="s">
        <v>12</v>
      </c>
      <c r="G26" s="10" t="s">
        <v>25</v>
      </c>
      <c r="H26" s="9">
        <v>96</v>
      </c>
      <c r="I26" s="12">
        <v>4.99</v>
      </c>
      <c r="J26" s="12">
        <v>479.04</v>
      </c>
      <c r="K26" s="36"/>
      <c r="N26" s="36"/>
    </row>
    <row r="27" spans="2:14" ht="15" customHeight="1" x14ac:dyDescent="0.45">
      <c r="B27" s="8">
        <v>39428</v>
      </c>
      <c r="C27" s="37">
        <f t="shared" si="0"/>
        <v>2007</v>
      </c>
      <c r="D27" s="37" t="str">
        <f t="shared" si="1"/>
        <v>Dec</v>
      </c>
      <c r="E27" s="9" t="s">
        <v>11</v>
      </c>
      <c r="F27" s="10" t="s">
        <v>23</v>
      </c>
      <c r="G27" s="10" t="s">
        <v>10</v>
      </c>
      <c r="H27" s="9">
        <v>67</v>
      </c>
      <c r="I27" s="12">
        <v>1.29</v>
      </c>
      <c r="J27" s="12">
        <v>86.43</v>
      </c>
      <c r="K27" s="36"/>
      <c r="N27" s="36"/>
    </row>
    <row r="28" spans="2:14" ht="15" customHeight="1" x14ac:dyDescent="0.45">
      <c r="B28" s="8">
        <v>39445</v>
      </c>
      <c r="C28" s="37">
        <f t="shared" si="0"/>
        <v>2007</v>
      </c>
      <c r="D28" s="37" t="str">
        <f t="shared" si="1"/>
        <v>Dec</v>
      </c>
      <c r="E28" s="9" t="s">
        <v>8</v>
      </c>
      <c r="F28" s="10" t="s">
        <v>22</v>
      </c>
      <c r="G28" s="10" t="s">
        <v>25</v>
      </c>
      <c r="H28" s="9">
        <v>74</v>
      </c>
      <c r="I28" s="12">
        <v>15.99</v>
      </c>
      <c r="J28" s="12">
        <v>1183.26</v>
      </c>
      <c r="K28" s="36"/>
      <c r="N28" s="36"/>
    </row>
    <row r="29" spans="2:14" ht="15" customHeight="1" x14ac:dyDescent="0.45">
      <c r="B29" s="8">
        <v>39462</v>
      </c>
      <c r="C29" s="37">
        <f t="shared" si="0"/>
        <v>2008</v>
      </c>
      <c r="D29" s="37" t="str">
        <f t="shared" si="1"/>
        <v>Jan</v>
      </c>
      <c r="E29" s="9" t="s">
        <v>11</v>
      </c>
      <c r="F29" s="10" t="s">
        <v>15</v>
      </c>
      <c r="G29" s="10" t="s">
        <v>13</v>
      </c>
      <c r="H29" s="9">
        <v>46</v>
      </c>
      <c r="I29" s="12">
        <v>8.99</v>
      </c>
      <c r="J29" s="12">
        <v>413.54</v>
      </c>
      <c r="K29" s="36"/>
      <c r="N29" s="36"/>
    </row>
    <row r="30" spans="2:14" ht="15" customHeight="1" x14ac:dyDescent="0.45">
      <c r="B30" s="8">
        <v>39479</v>
      </c>
      <c r="C30" s="37">
        <f t="shared" si="0"/>
        <v>2008</v>
      </c>
      <c r="D30" s="37" t="str">
        <f t="shared" si="1"/>
        <v>Feb</v>
      </c>
      <c r="E30" s="9" t="s">
        <v>11</v>
      </c>
      <c r="F30" s="10" t="s">
        <v>23</v>
      </c>
      <c r="G30" s="10" t="s">
        <v>13</v>
      </c>
      <c r="H30" s="9">
        <v>87</v>
      </c>
      <c r="I30" s="12">
        <v>15</v>
      </c>
      <c r="J30" s="12">
        <v>1305</v>
      </c>
      <c r="K30" s="36"/>
      <c r="N30" s="36"/>
    </row>
    <row r="31" spans="2:14" ht="15" customHeight="1" x14ac:dyDescent="0.45">
      <c r="B31" s="8">
        <v>39496</v>
      </c>
      <c r="C31" s="37">
        <f t="shared" si="0"/>
        <v>2008</v>
      </c>
      <c r="D31" s="37" t="str">
        <f t="shared" si="1"/>
        <v>Feb</v>
      </c>
      <c r="E31" s="9" t="s">
        <v>8</v>
      </c>
      <c r="F31" s="10" t="s">
        <v>9</v>
      </c>
      <c r="G31" s="10" t="s">
        <v>13</v>
      </c>
      <c r="H31" s="9">
        <v>4</v>
      </c>
      <c r="I31" s="12">
        <v>4.99</v>
      </c>
      <c r="J31" s="12">
        <v>19.96</v>
      </c>
      <c r="K31" s="36"/>
      <c r="N31" s="36"/>
    </row>
    <row r="32" spans="2:14" ht="15" customHeight="1" x14ac:dyDescent="0.45">
      <c r="B32" s="8">
        <v>39514</v>
      </c>
      <c r="C32" s="37">
        <f t="shared" si="0"/>
        <v>2008</v>
      </c>
      <c r="D32" s="37" t="str">
        <f t="shared" si="1"/>
        <v>Mar</v>
      </c>
      <c r="E32" s="9" t="s">
        <v>17</v>
      </c>
      <c r="F32" s="10" t="s">
        <v>18</v>
      </c>
      <c r="G32" s="10" t="s">
        <v>13</v>
      </c>
      <c r="H32" s="9">
        <v>7</v>
      </c>
      <c r="I32" s="12">
        <v>19.989999999999998</v>
      </c>
      <c r="J32" s="12">
        <v>139.92999999999998</v>
      </c>
      <c r="K32" s="36"/>
      <c r="N32" s="36"/>
    </row>
    <row r="33" spans="2:14" ht="15" customHeight="1" x14ac:dyDescent="0.45">
      <c r="B33" s="8">
        <v>39531</v>
      </c>
      <c r="C33" s="37">
        <f t="shared" si="0"/>
        <v>2008</v>
      </c>
      <c r="D33" s="37" t="str">
        <f t="shared" si="1"/>
        <v>Mar</v>
      </c>
      <c r="E33" s="9" t="s">
        <v>11</v>
      </c>
      <c r="F33" s="10" t="s">
        <v>14</v>
      </c>
      <c r="G33" s="10" t="s">
        <v>25</v>
      </c>
      <c r="H33" s="9">
        <v>50</v>
      </c>
      <c r="I33" s="12">
        <v>4.99</v>
      </c>
      <c r="J33" s="12">
        <v>249.5</v>
      </c>
      <c r="K33" s="36"/>
      <c r="N33" s="36"/>
    </row>
    <row r="34" spans="2:14" ht="15" customHeight="1" x14ac:dyDescent="0.45">
      <c r="B34" s="8">
        <v>39548</v>
      </c>
      <c r="C34" s="37">
        <f t="shared" si="0"/>
        <v>2008</v>
      </c>
      <c r="D34" s="37" t="str">
        <f t="shared" si="1"/>
        <v>Apr</v>
      </c>
      <c r="E34" s="9" t="s">
        <v>11</v>
      </c>
      <c r="F34" s="10" t="s">
        <v>15</v>
      </c>
      <c r="G34" s="10" t="s">
        <v>10</v>
      </c>
      <c r="H34" s="9">
        <v>66</v>
      </c>
      <c r="I34" s="12">
        <v>1.99</v>
      </c>
      <c r="J34" s="12">
        <v>131.34</v>
      </c>
      <c r="K34" s="36"/>
      <c r="N34" s="36"/>
    </row>
    <row r="35" spans="2:14" ht="15" customHeight="1" x14ac:dyDescent="0.45">
      <c r="B35" s="8">
        <v>39565</v>
      </c>
      <c r="C35" s="37">
        <f t="shared" si="0"/>
        <v>2008</v>
      </c>
      <c r="D35" s="37" t="str">
        <f t="shared" si="1"/>
        <v>Apr</v>
      </c>
      <c r="E35" s="9" t="s">
        <v>8</v>
      </c>
      <c r="F35" s="10" t="s">
        <v>14</v>
      </c>
      <c r="G35" s="10" t="s">
        <v>16</v>
      </c>
      <c r="H35" s="9">
        <v>96</v>
      </c>
      <c r="I35" s="12">
        <v>4.99</v>
      </c>
      <c r="J35" s="12">
        <v>479.04</v>
      </c>
      <c r="K35" s="36"/>
      <c r="N35" s="36"/>
    </row>
    <row r="36" spans="2:14" ht="15" customHeight="1" x14ac:dyDescent="0.45">
      <c r="B36" s="8">
        <v>39582</v>
      </c>
      <c r="C36" s="37">
        <f t="shared" si="0"/>
        <v>2008</v>
      </c>
      <c r="D36" s="37" t="str">
        <f t="shared" si="1"/>
        <v>May</v>
      </c>
      <c r="E36" s="9" t="s">
        <v>11</v>
      </c>
      <c r="F36" s="10" t="s">
        <v>15</v>
      </c>
      <c r="G36" s="10" t="s">
        <v>10</v>
      </c>
      <c r="H36" s="9">
        <v>53</v>
      </c>
      <c r="I36" s="12">
        <v>1.29</v>
      </c>
      <c r="J36" s="12">
        <v>68.37</v>
      </c>
      <c r="K36" s="36"/>
      <c r="N36" s="36"/>
    </row>
    <row r="37" spans="2:14" ht="15" customHeight="1" x14ac:dyDescent="0.45">
      <c r="B37" s="8">
        <v>39599</v>
      </c>
      <c r="C37" s="37">
        <f t="shared" si="0"/>
        <v>2008</v>
      </c>
      <c r="D37" s="37" t="str">
        <f t="shared" si="1"/>
        <v>May</v>
      </c>
      <c r="E37" s="9" t="s">
        <v>11</v>
      </c>
      <c r="F37" s="10" t="s">
        <v>15</v>
      </c>
      <c r="G37" s="10" t="s">
        <v>13</v>
      </c>
      <c r="H37" s="9">
        <v>80</v>
      </c>
      <c r="I37" s="12">
        <v>8.99</v>
      </c>
      <c r="J37" s="12">
        <v>719.2</v>
      </c>
      <c r="K37" s="36"/>
      <c r="N37" s="36"/>
    </row>
    <row r="38" spans="2:14" ht="15" customHeight="1" x14ac:dyDescent="0.45">
      <c r="B38" s="8">
        <v>39616</v>
      </c>
      <c r="C38" s="37">
        <f t="shared" si="0"/>
        <v>2008</v>
      </c>
      <c r="D38" s="37" t="str">
        <f t="shared" si="1"/>
        <v>Jun</v>
      </c>
      <c r="E38" s="9" t="s">
        <v>11</v>
      </c>
      <c r="F38" s="10" t="s">
        <v>12</v>
      </c>
      <c r="G38" s="10" t="s">
        <v>24</v>
      </c>
      <c r="H38" s="9">
        <v>5</v>
      </c>
      <c r="I38" s="12">
        <v>125</v>
      </c>
      <c r="J38" s="12">
        <v>625</v>
      </c>
      <c r="K38" s="36"/>
      <c r="N38" s="36"/>
    </row>
    <row r="39" spans="2:14" ht="15" customHeight="1" x14ac:dyDescent="0.45">
      <c r="B39" s="8">
        <v>39633</v>
      </c>
      <c r="C39" s="37">
        <f t="shared" si="0"/>
        <v>2008</v>
      </c>
      <c r="D39" s="37" t="str">
        <f t="shared" si="1"/>
        <v>Jul</v>
      </c>
      <c r="E39" s="9" t="s">
        <v>8</v>
      </c>
      <c r="F39" s="10" t="s">
        <v>9</v>
      </c>
      <c r="G39" s="10" t="s">
        <v>25</v>
      </c>
      <c r="H39" s="9">
        <v>62</v>
      </c>
      <c r="I39" s="12">
        <v>4.99</v>
      </c>
      <c r="J39" s="12">
        <v>309.38</v>
      </c>
      <c r="K39" s="36"/>
      <c r="N39" s="36"/>
    </row>
    <row r="40" spans="2:14" ht="15" customHeight="1" x14ac:dyDescent="0.45">
      <c r="B40" s="8">
        <v>39650</v>
      </c>
      <c r="C40" s="37">
        <f t="shared" si="0"/>
        <v>2008</v>
      </c>
      <c r="D40" s="37" t="str">
        <f t="shared" si="1"/>
        <v>Jul</v>
      </c>
      <c r="E40" s="9" t="s">
        <v>11</v>
      </c>
      <c r="F40" s="10" t="s">
        <v>21</v>
      </c>
      <c r="G40" s="10" t="s">
        <v>25</v>
      </c>
      <c r="H40" s="9">
        <v>55</v>
      </c>
      <c r="I40" s="12">
        <v>12.49</v>
      </c>
      <c r="J40" s="12">
        <v>686.95</v>
      </c>
      <c r="K40" s="36"/>
      <c r="N40" s="36"/>
    </row>
    <row r="41" spans="2:14" ht="15" customHeight="1" x14ac:dyDescent="0.45">
      <c r="B41" s="8">
        <v>39667</v>
      </c>
      <c r="C41" s="37">
        <f t="shared" si="0"/>
        <v>2008</v>
      </c>
      <c r="D41" s="37" t="str">
        <f t="shared" si="1"/>
        <v>Aug</v>
      </c>
      <c r="E41" s="9" t="s">
        <v>11</v>
      </c>
      <c r="F41" s="10" t="s">
        <v>12</v>
      </c>
      <c r="G41" s="10" t="s">
        <v>25</v>
      </c>
      <c r="H41" s="9">
        <v>42</v>
      </c>
      <c r="I41" s="12">
        <v>23.95</v>
      </c>
      <c r="J41" s="12">
        <v>1005.9</v>
      </c>
      <c r="K41" s="36"/>
      <c r="N41" s="36"/>
    </row>
    <row r="42" spans="2:14" ht="15" customHeight="1" x14ac:dyDescent="0.45">
      <c r="B42" s="8">
        <v>39684</v>
      </c>
      <c r="C42" s="37">
        <f t="shared" si="0"/>
        <v>2008</v>
      </c>
      <c r="D42" s="37" t="str">
        <f t="shared" si="1"/>
        <v>Aug</v>
      </c>
      <c r="E42" s="9" t="s">
        <v>17</v>
      </c>
      <c r="F42" s="10" t="s">
        <v>18</v>
      </c>
      <c r="G42" s="10" t="s">
        <v>24</v>
      </c>
      <c r="H42" s="9">
        <v>3</v>
      </c>
      <c r="I42" s="12">
        <v>275</v>
      </c>
      <c r="J42" s="12">
        <v>825</v>
      </c>
      <c r="K42" s="36"/>
      <c r="N42" s="36"/>
    </row>
    <row r="43" spans="2:14" ht="15" customHeight="1" x14ac:dyDescent="0.45">
      <c r="B43" s="8">
        <v>39701</v>
      </c>
      <c r="C43" s="37">
        <f t="shared" si="0"/>
        <v>2008</v>
      </c>
      <c r="D43" s="37" t="str">
        <f t="shared" si="1"/>
        <v>Sep</v>
      </c>
      <c r="E43" s="9" t="s">
        <v>11</v>
      </c>
      <c r="F43" s="10" t="s">
        <v>15</v>
      </c>
      <c r="G43" s="10" t="s">
        <v>10</v>
      </c>
      <c r="H43" s="9">
        <v>7</v>
      </c>
      <c r="I43" s="12">
        <v>1.29</v>
      </c>
      <c r="J43" s="12">
        <v>9.0300000000000011</v>
      </c>
      <c r="K43" s="36"/>
      <c r="N43" s="36"/>
    </row>
    <row r="44" spans="2:14" ht="15" customHeight="1" x14ac:dyDescent="0.45">
      <c r="B44" s="8">
        <v>39718</v>
      </c>
      <c r="C44" s="37">
        <f t="shared" si="0"/>
        <v>2008</v>
      </c>
      <c r="D44" s="37" t="str">
        <f t="shared" si="1"/>
        <v>Sep</v>
      </c>
      <c r="E44" s="9" t="s">
        <v>17</v>
      </c>
      <c r="F44" s="10" t="s">
        <v>18</v>
      </c>
      <c r="G44" s="10" t="s">
        <v>16</v>
      </c>
      <c r="H44" s="9">
        <v>76</v>
      </c>
      <c r="I44" s="12">
        <v>1.99</v>
      </c>
      <c r="J44" s="12">
        <v>151.24</v>
      </c>
      <c r="K44" s="36"/>
      <c r="N44" s="36"/>
    </row>
    <row r="45" spans="2:14" ht="15" customHeight="1" x14ac:dyDescent="0.45">
      <c r="B45" s="8">
        <v>39735</v>
      </c>
      <c r="C45" s="37">
        <f t="shared" si="0"/>
        <v>2008</v>
      </c>
      <c r="D45" s="37" t="str">
        <f t="shared" si="1"/>
        <v>Oct</v>
      </c>
      <c r="E45" s="9" t="s">
        <v>17</v>
      </c>
      <c r="F45" s="10" t="s">
        <v>20</v>
      </c>
      <c r="G45" s="10" t="s">
        <v>13</v>
      </c>
      <c r="H45" s="9">
        <v>57</v>
      </c>
      <c r="I45" s="12">
        <v>19.989999999999998</v>
      </c>
      <c r="J45" s="12">
        <v>1139.4299999999998</v>
      </c>
      <c r="K45" s="36"/>
      <c r="N45" s="36"/>
    </row>
    <row r="46" spans="2:14" ht="15" customHeight="1" x14ac:dyDescent="0.45">
      <c r="B46" s="8">
        <v>39752</v>
      </c>
      <c r="C46" s="37">
        <f t="shared" si="0"/>
        <v>2008</v>
      </c>
      <c r="D46" s="37" t="str">
        <f t="shared" si="1"/>
        <v>Oct</v>
      </c>
      <c r="E46" s="9" t="s">
        <v>11</v>
      </c>
      <c r="F46" s="10" t="s">
        <v>15</v>
      </c>
      <c r="G46" s="10" t="s">
        <v>10</v>
      </c>
      <c r="H46" s="9">
        <v>14</v>
      </c>
      <c r="I46" s="12">
        <v>1.29</v>
      </c>
      <c r="J46" s="12">
        <v>18.060000000000002</v>
      </c>
      <c r="K46" s="36"/>
      <c r="N46" s="36"/>
    </row>
    <row r="47" spans="2:14" ht="15" customHeight="1" x14ac:dyDescent="0.45">
      <c r="B47" s="8">
        <v>39769</v>
      </c>
      <c r="C47" s="37">
        <f t="shared" si="0"/>
        <v>2008</v>
      </c>
      <c r="D47" s="37" t="str">
        <f t="shared" si="1"/>
        <v>Nov</v>
      </c>
      <c r="E47" s="9" t="s">
        <v>11</v>
      </c>
      <c r="F47" s="10" t="s">
        <v>14</v>
      </c>
      <c r="G47" s="10" t="s">
        <v>13</v>
      </c>
      <c r="H47" s="9">
        <v>11</v>
      </c>
      <c r="I47" s="12">
        <v>4.99</v>
      </c>
      <c r="J47" s="12">
        <v>54.89</v>
      </c>
      <c r="K47" s="36"/>
      <c r="N47" s="36"/>
    </row>
    <row r="48" spans="2:14" ht="15" customHeight="1" x14ac:dyDescent="0.45">
      <c r="B48" s="8">
        <v>39786</v>
      </c>
      <c r="C48" s="37">
        <f t="shared" si="0"/>
        <v>2008</v>
      </c>
      <c r="D48" s="37" t="str">
        <f t="shared" si="1"/>
        <v>Dec</v>
      </c>
      <c r="E48" s="9" t="s">
        <v>11</v>
      </c>
      <c r="F48" s="10" t="s">
        <v>14</v>
      </c>
      <c r="G48" s="10" t="s">
        <v>13</v>
      </c>
      <c r="H48" s="9">
        <v>94</v>
      </c>
      <c r="I48" s="12">
        <v>19.989999999999998</v>
      </c>
      <c r="J48" s="12">
        <v>1879.06</v>
      </c>
      <c r="K48" s="36"/>
      <c r="N48" s="36"/>
    </row>
    <row r="49" spans="2:14" ht="15" customHeight="1" x14ac:dyDescent="0.45">
      <c r="B49" s="8">
        <v>39803</v>
      </c>
      <c r="C49" s="37">
        <f t="shared" si="0"/>
        <v>2008</v>
      </c>
      <c r="D49" s="37" t="str">
        <f t="shared" si="1"/>
        <v>Dec</v>
      </c>
      <c r="E49" s="9" t="s">
        <v>11</v>
      </c>
      <c r="F49" s="10" t="s">
        <v>15</v>
      </c>
      <c r="G49" s="10" t="s">
        <v>13</v>
      </c>
      <c r="H49" s="9">
        <v>28</v>
      </c>
      <c r="I49" s="12">
        <v>4.99</v>
      </c>
      <c r="J49" s="12">
        <v>139.72</v>
      </c>
      <c r="K49" s="36"/>
      <c r="N49" s="36"/>
    </row>
    <row r="50" spans="2:14" ht="15" customHeight="1" x14ac:dyDescent="0.45">
      <c r="C50" s="37"/>
      <c r="D50" s="37"/>
    </row>
    <row r="51" spans="2:14" ht="15" customHeight="1" x14ac:dyDescent="0.45">
      <c r="C51" s="37"/>
      <c r="D51" s="37"/>
    </row>
    <row r="52" spans="2:14" ht="15" customHeight="1" x14ac:dyDescent="0.45">
      <c r="C52" s="37"/>
      <c r="D52" s="37"/>
    </row>
    <row r="53" spans="2:14" ht="15" customHeight="1" x14ac:dyDescent="0.45">
      <c r="C53" s="37"/>
      <c r="D53" s="37"/>
    </row>
    <row r="54" spans="2:14" ht="15" customHeight="1" x14ac:dyDescent="0.45">
      <c r="C54" s="37"/>
      <c r="D54" s="37"/>
    </row>
    <row r="55" spans="2:14" ht="15" customHeight="1" x14ac:dyDescent="0.45">
      <c r="C55" s="37"/>
      <c r="D55" s="37"/>
    </row>
    <row r="56" spans="2:14" ht="15" customHeight="1" x14ac:dyDescent="0.45">
      <c r="C56" s="37"/>
      <c r="D56" s="37"/>
    </row>
    <row r="57" spans="2:14" ht="15" customHeight="1" x14ac:dyDescent="0.45">
      <c r="C57" s="37"/>
      <c r="D57" s="37"/>
    </row>
    <row r="58" spans="2:14" ht="15" customHeight="1" x14ac:dyDescent="0.45">
      <c r="C58" s="37"/>
      <c r="D58" s="37"/>
    </row>
    <row r="59" spans="2:14" ht="15" customHeight="1" x14ac:dyDescent="0.45">
      <c r="C59" s="37"/>
      <c r="D59" s="37"/>
    </row>
    <row r="60" spans="2:14" ht="15" customHeight="1" x14ac:dyDescent="0.45">
      <c r="C60" s="37"/>
      <c r="D60" s="37"/>
    </row>
    <row r="61" spans="2:14" ht="15" customHeight="1" x14ac:dyDescent="0.45">
      <c r="C61" s="37"/>
      <c r="D61" s="37"/>
    </row>
    <row r="62" spans="2:14" ht="15" customHeight="1" x14ac:dyDescent="0.45">
      <c r="C62" s="37"/>
      <c r="D62" s="37"/>
    </row>
    <row r="63" spans="2:14" ht="15" customHeight="1" x14ac:dyDescent="0.45">
      <c r="C63" s="37"/>
      <c r="D63" s="37"/>
    </row>
    <row r="64" spans="2:14" ht="15" customHeight="1" x14ac:dyDescent="0.45">
      <c r="C64" s="37"/>
      <c r="D64" s="37"/>
    </row>
    <row r="65" spans="3:4" ht="15" customHeight="1" x14ac:dyDescent="0.45">
      <c r="C65" s="37"/>
      <c r="D65" s="37"/>
    </row>
    <row r="66" spans="3:4" ht="15" customHeight="1" x14ac:dyDescent="0.45">
      <c r="C66" s="37"/>
      <c r="D66" s="37"/>
    </row>
    <row r="67" spans="3:4" ht="15" customHeight="1" x14ac:dyDescent="0.45">
      <c r="C67" s="37"/>
      <c r="D67" s="37"/>
    </row>
    <row r="68" spans="3:4" ht="15" customHeight="1" x14ac:dyDescent="0.45">
      <c r="C68" s="37"/>
      <c r="D68" s="37"/>
    </row>
    <row r="69" spans="3:4" ht="15" customHeight="1" x14ac:dyDescent="0.45">
      <c r="C69" s="37"/>
      <c r="D69" s="37"/>
    </row>
    <row r="70" spans="3:4" ht="15" customHeight="1" x14ac:dyDescent="0.45">
      <c r="C70" s="37"/>
      <c r="D70" s="37"/>
    </row>
    <row r="71" spans="3:4" ht="15" customHeight="1" x14ac:dyDescent="0.45">
      <c r="C71" s="37"/>
      <c r="D71" s="37"/>
    </row>
    <row r="72" spans="3:4" ht="15" customHeight="1" x14ac:dyDescent="0.45">
      <c r="C72" s="37"/>
      <c r="D72" s="37"/>
    </row>
    <row r="73" spans="3:4" ht="15" customHeight="1" x14ac:dyDescent="0.45">
      <c r="C73" s="37"/>
      <c r="D73" s="37"/>
    </row>
    <row r="74" spans="3:4" ht="15" customHeight="1" x14ac:dyDescent="0.45">
      <c r="C74" s="37"/>
      <c r="D74" s="37"/>
    </row>
    <row r="75" spans="3:4" ht="15" customHeight="1" x14ac:dyDescent="0.45">
      <c r="C75" s="37"/>
      <c r="D75" s="37"/>
    </row>
    <row r="76" spans="3:4" ht="15" customHeight="1" x14ac:dyDescent="0.45">
      <c r="C76" s="37"/>
      <c r="D76" s="37"/>
    </row>
    <row r="77" spans="3:4" ht="15" customHeight="1" x14ac:dyDescent="0.45">
      <c r="C77" s="37"/>
      <c r="D77" s="37"/>
    </row>
    <row r="78" spans="3:4" ht="15" customHeight="1" x14ac:dyDescent="0.45">
      <c r="C78" s="37"/>
      <c r="D78" s="37"/>
    </row>
    <row r="79" spans="3:4" ht="15" customHeight="1" x14ac:dyDescent="0.45">
      <c r="C79" s="37"/>
      <c r="D79" s="37"/>
    </row>
    <row r="80" spans="3:4" ht="15" customHeight="1" x14ac:dyDescent="0.45">
      <c r="C80" s="37"/>
      <c r="D80" s="37"/>
    </row>
    <row r="81" spans="3:4" ht="15" customHeight="1" x14ac:dyDescent="0.45">
      <c r="C81" s="37"/>
      <c r="D81" s="37"/>
    </row>
    <row r="82" spans="3:4" ht="15" customHeight="1" x14ac:dyDescent="0.45">
      <c r="C82" s="37"/>
      <c r="D82" s="37"/>
    </row>
    <row r="83" spans="3:4" ht="15" customHeight="1" x14ac:dyDescent="0.45">
      <c r="C83" s="37"/>
      <c r="D83" s="37"/>
    </row>
    <row r="84" spans="3:4" ht="15" customHeight="1" x14ac:dyDescent="0.45">
      <c r="C84" s="37"/>
      <c r="D84" s="37"/>
    </row>
    <row r="85" spans="3:4" ht="15" customHeight="1" x14ac:dyDescent="0.45">
      <c r="C85" s="37"/>
      <c r="D85" s="37"/>
    </row>
    <row r="86" spans="3:4" ht="15" customHeight="1" x14ac:dyDescent="0.45">
      <c r="C86" s="37"/>
      <c r="D86" s="37"/>
    </row>
    <row r="87" spans="3:4" ht="15" customHeight="1" x14ac:dyDescent="0.45">
      <c r="C87" s="37"/>
      <c r="D87" s="37"/>
    </row>
    <row r="88" spans="3:4" ht="15" customHeight="1" x14ac:dyDescent="0.45">
      <c r="C88" s="37"/>
      <c r="D88" s="37"/>
    </row>
    <row r="89" spans="3:4" ht="15" customHeight="1" x14ac:dyDescent="0.45">
      <c r="C89" s="37"/>
      <c r="D89" s="37"/>
    </row>
    <row r="90" spans="3:4" ht="15" customHeight="1" x14ac:dyDescent="0.45">
      <c r="C90" s="37"/>
      <c r="D90" s="37"/>
    </row>
    <row r="91" spans="3:4" ht="15" customHeight="1" x14ac:dyDescent="0.45">
      <c r="C91" s="37"/>
      <c r="D91" s="37"/>
    </row>
  </sheetData>
  <autoFilter ref="B6:J49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28"/>
  <sheetViews>
    <sheetView showGridLines="0" showRowColHeaders="0" zoomScale="85" zoomScaleNormal="85" workbookViewId="0">
      <pane ySplit="4" topLeftCell="A5" activePane="bottomLeft" state="frozen"/>
      <selection pane="bottomLeft" activeCell="O15" sqref="O15"/>
    </sheetView>
  </sheetViews>
  <sheetFormatPr defaultColWidth="9.28515625" defaultRowHeight="15" customHeight="1" x14ac:dyDescent="0.3"/>
  <cols>
    <col min="1" max="1" width="2.7109375" style="68" customWidth="1"/>
    <col min="2" max="2" width="3.7109375" style="69" customWidth="1"/>
    <col min="3" max="3" width="19.42578125" style="70" customWidth="1"/>
    <col min="4" max="4" width="15.28515625" style="71" customWidth="1"/>
    <col min="5" max="5" width="16.7109375" style="71" customWidth="1"/>
    <col min="6" max="6" width="3.7109375" style="69" customWidth="1"/>
    <col min="7" max="7" width="18.42578125" style="70" customWidth="1"/>
    <col min="8" max="8" width="18" style="70" customWidth="1"/>
    <col min="9" max="9" width="16.7109375" style="71" customWidth="1"/>
    <col min="10" max="10" width="3.7109375" style="69" customWidth="1"/>
    <col min="11" max="11" width="77.7109375" style="70" bestFit="1" customWidth="1"/>
    <col min="12" max="12" width="8.85546875" style="70" customWidth="1"/>
    <col min="13" max="13" width="16.7109375" style="70" customWidth="1"/>
    <col min="14" max="14" width="4.7109375" style="70" customWidth="1"/>
    <col min="15" max="16384" width="9.28515625" style="70"/>
  </cols>
  <sheetData>
    <row r="1" spans="1:15" s="43" customFormat="1" ht="4.95" customHeight="1" x14ac:dyDescent="0.3">
      <c r="A1" s="39"/>
      <c r="B1" s="40"/>
      <c r="C1" s="41"/>
      <c r="D1" s="42"/>
      <c r="E1" s="42"/>
      <c r="F1" s="40"/>
      <c r="G1" s="41"/>
      <c r="H1" s="41"/>
      <c r="I1" s="42"/>
      <c r="J1" s="40"/>
      <c r="K1" s="41"/>
      <c r="L1" s="41"/>
      <c r="M1" s="41"/>
      <c r="N1" s="41"/>
      <c r="O1" s="41"/>
    </row>
    <row r="2" spans="1:15" s="43" customFormat="1" ht="15.6" x14ac:dyDescent="0.3">
      <c r="A2" s="39"/>
      <c r="B2" s="44" t="s">
        <v>33</v>
      </c>
      <c r="C2" s="45"/>
      <c r="D2" s="46"/>
      <c r="E2" s="46"/>
      <c r="F2" s="47"/>
      <c r="G2" s="45"/>
      <c r="H2" s="45"/>
      <c r="I2" s="46"/>
      <c r="J2" s="47"/>
      <c r="K2" s="45"/>
      <c r="L2" s="45"/>
      <c r="M2" s="45"/>
      <c r="N2" s="45"/>
      <c r="O2" s="48"/>
    </row>
    <row r="3" spans="1:15" s="43" customFormat="1" ht="16.2" thickBot="1" x14ac:dyDescent="0.35">
      <c r="A3" s="39"/>
      <c r="B3" s="49" t="s">
        <v>61</v>
      </c>
      <c r="C3" s="50"/>
      <c r="D3" s="51"/>
      <c r="E3" s="51"/>
      <c r="F3" s="52"/>
      <c r="G3" s="53"/>
      <c r="H3" s="53"/>
      <c r="I3" s="51"/>
      <c r="J3" s="52"/>
      <c r="K3" s="53"/>
      <c r="L3" s="53"/>
      <c r="M3" s="53"/>
      <c r="N3" s="53"/>
      <c r="O3" s="54"/>
    </row>
    <row r="4" spans="1:15" s="43" customFormat="1" ht="4.95" customHeight="1" x14ac:dyDescent="0.3">
      <c r="A4" s="39"/>
      <c r="B4" s="55"/>
      <c r="C4" s="45"/>
      <c r="D4" s="46"/>
      <c r="E4" s="46"/>
      <c r="F4" s="47"/>
      <c r="G4" s="45"/>
      <c r="H4" s="45"/>
      <c r="I4" s="46"/>
      <c r="J4" s="47"/>
      <c r="K4" s="45"/>
      <c r="L4" s="45"/>
      <c r="M4" s="45"/>
      <c r="N4" s="45"/>
      <c r="O4" s="48"/>
    </row>
    <row r="6" spans="1:15" s="58" customFormat="1" ht="15" customHeight="1" x14ac:dyDescent="0.3">
      <c r="A6" s="56"/>
      <c r="B6" s="72" t="s">
        <v>26</v>
      </c>
      <c r="C6" s="73" t="s">
        <v>60</v>
      </c>
      <c r="D6" s="74"/>
      <c r="E6" s="74"/>
      <c r="F6" s="72" t="s">
        <v>27</v>
      </c>
      <c r="G6" s="73" t="s">
        <v>28</v>
      </c>
      <c r="H6" s="74"/>
      <c r="I6" s="74"/>
      <c r="J6" s="95">
        <v>3</v>
      </c>
      <c r="K6" s="91" t="s">
        <v>30</v>
      </c>
      <c r="L6" s="92"/>
      <c r="M6" s="85">
        <f>SUMIFS(Total, Region, "Alberta", Item, "Binder")/SUMIFS(Units, Region, "Alberta", Item, "Binder")</f>
        <v>19.989999999999998</v>
      </c>
      <c r="N6" s="86"/>
    </row>
    <row r="7" spans="1:15" s="58" customFormat="1" ht="15" customHeight="1" x14ac:dyDescent="0.3">
      <c r="A7" s="56"/>
      <c r="B7" s="57"/>
      <c r="D7" s="59"/>
      <c r="E7" s="59"/>
      <c r="F7" s="57"/>
      <c r="H7" s="59"/>
      <c r="J7" s="96"/>
      <c r="K7" s="93"/>
      <c r="L7" s="94"/>
      <c r="M7" s="87"/>
      <c r="N7" s="88"/>
    </row>
    <row r="8" spans="1:15" s="58" customFormat="1" ht="15" customHeight="1" x14ac:dyDescent="0.3">
      <c r="A8" s="56"/>
      <c r="B8" s="61"/>
      <c r="C8" s="62" t="s">
        <v>4</v>
      </c>
      <c r="D8" s="63" t="s">
        <v>5</v>
      </c>
      <c r="E8" s="59"/>
      <c r="F8" s="61"/>
      <c r="G8" s="62" t="s">
        <v>0</v>
      </c>
      <c r="H8" s="64" t="s">
        <v>29</v>
      </c>
      <c r="J8" s="95">
        <v>4</v>
      </c>
      <c r="K8" s="91" t="s">
        <v>31</v>
      </c>
      <c r="L8" s="92"/>
      <c r="M8" s="85" t="e">
        <f>SUMIFS(Total, Region, "Quebec", Item, "Desk")/SUMIFS(Units, Region, "Quebec", Item, "Desk")</f>
        <v>#DIV/0!</v>
      </c>
      <c r="N8" s="86"/>
    </row>
    <row r="9" spans="1:15" s="58" customFormat="1" ht="15" customHeight="1" x14ac:dyDescent="0.3">
      <c r="A9" s="56"/>
      <c r="B9" s="57"/>
      <c r="C9" s="75" t="s">
        <v>13</v>
      </c>
      <c r="D9" s="60">
        <f>SUMIF(Item, 'Part 1'!C9, Units)</f>
        <v>722</v>
      </c>
      <c r="E9" s="59"/>
      <c r="F9" s="57"/>
      <c r="G9" s="90">
        <v>2007</v>
      </c>
      <c r="H9" s="90"/>
      <c r="J9" s="96"/>
      <c r="K9" s="93"/>
      <c r="L9" s="94"/>
      <c r="M9" s="87"/>
      <c r="N9" s="88"/>
    </row>
    <row r="10" spans="1:15" s="58" customFormat="1" ht="15" customHeight="1" x14ac:dyDescent="0.3">
      <c r="A10" s="56"/>
      <c r="B10" s="61"/>
      <c r="C10" s="75" t="s">
        <v>24</v>
      </c>
      <c r="D10" s="60">
        <f>SUMIF(Item, 'Part 1'!C10, Units)</f>
        <v>10</v>
      </c>
      <c r="E10" s="59"/>
      <c r="F10" s="65">
        <v>1</v>
      </c>
      <c r="G10" s="66" t="s">
        <v>47</v>
      </c>
      <c r="H10" s="67">
        <f>SUMIFS(Total, Region, "Ontario", Year, "2007", Month, 'Part 1'!G10)</f>
        <v>999.49999999999989</v>
      </c>
      <c r="J10" s="95">
        <v>5</v>
      </c>
      <c r="K10" s="91" t="s">
        <v>32</v>
      </c>
      <c r="L10" s="92"/>
      <c r="M10" s="85">
        <f>SUMIFS(Total, Region, "Ontario", Item, "Binder")/SUMIFS(Units, Region, "Ontario", Item, "Binder") * 2 + SUMIFS(Total, Region, "Quebec", Item, "Pencil")/SUMIFS(Units, Region, "Quebec", Item, "Pencil") * 5</f>
        <v>41.170678519593615</v>
      </c>
      <c r="N10" s="86"/>
    </row>
    <row r="11" spans="1:15" s="58" customFormat="1" ht="15" customHeight="1" x14ac:dyDescent="0.3">
      <c r="A11" s="56"/>
      <c r="B11" s="61"/>
      <c r="C11" s="75" t="s">
        <v>16</v>
      </c>
      <c r="D11" s="60">
        <f>SUMIF(Item, 'Part 1'!C11, Units)</f>
        <v>278</v>
      </c>
      <c r="E11" s="59"/>
      <c r="F11" s="65">
        <v>3</v>
      </c>
      <c r="G11" s="66" t="s">
        <v>49</v>
      </c>
      <c r="H11" s="67">
        <f>SUMIFS(Total, Region, "Ontario", Year, "2007", Month, 'Part 1'!G11)</f>
        <v>0</v>
      </c>
      <c r="J11" s="96"/>
      <c r="K11" s="93"/>
      <c r="L11" s="94"/>
      <c r="M11" s="87"/>
      <c r="N11" s="88"/>
    </row>
    <row r="12" spans="1:15" s="58" customFormat="1" ht="15.6" x14ac:dyDescent="0.3">
      <c r="A12" s="56"/>
      <c r="B12" s="61"/>
      <c r="C12" s="75" t="s">
        <v>25</v>
      </c>
      <c r="D12" s="60">
        <f>SUMIF(Item, 'Part 1'!C12, Units)</f>
        <v>395</v>
      </c>
      <c r="E12" s="59"/>
      <c r="F12" s="65">
        <v>6</v>
      </c>
      <c r="G12" s="66" t="s">
        <v>52</v>
      </c>
      <c r="H12" s="67">
        <f>SUMIFS(Total, Region, "Ontario", Year, "2007", Month, 'Part 1'!G12)</f>
        <v>449.1</v>
      </c>
    </row>
    <row r="13" spans="1:15" s="58" customFormat="1" ht="15" customHeight="1" x14ac:dyDescent="0.3">
      <c r="A13" s="56"/>
      <c r="B13" s="61"/>
      <c r="C13" s="75" t="s">
        <v>10</v>
      </c>
      <c r="D13" s="60">
        <f>SUMIF(Item, 'Part 1'!C13, Units)</f>
        <v>716</v>
      </c>
      <c r="E13" s="59"/>
      <c r="F13" s="65">
        <v>10</v>
      </c>
      <c r="G13" s="66" t="s">
        <v>56</v>
      </c>
      <c r="H13" s="67">
        <f>SUMIFS(Total, Region, "Ontario", Year, "2007", Month, 'Part 1'!G13)</f>
        <v>251.72</v>
      </c>
    </row>
    <row r="14" spans="1:15" s="58" customFormat="1" ht="15" customHeight="1" x14ac:dyDescent="0.3">
      <c r="A14" s="56"/>
      <c r="B14" s="61"/>
      <c r="C14" s="75"/>
      <c r="D14" s="59"/>
      <c r="E14" s="59"/>
      <c r="F14" s="65">
        <v>9</v>
      </c>
      <c r="G14" s="66" t="s">
        <v>55</v>
      </c>
      <c r="H14" s="67">
        <f>SUMIFS(Total, Region, "Ontario", Year, "2007", Month, 'Part 1'!G14)</f>
        <v>250</v>
      </c>
    </row>
    <row r="15" spans="1:15" s="58" customFormat="1" ht="15" customHeight="1" x14ac:dyDescent="0.3">
      <c r="A15" s="56"/>
      <c r="B15" s="61"/>
      <c r="C15" s="82" t="s">
        <v>67</v>
      </c>
      <c r="D15" s="83"/>
      <c r="E15" s="84"/>
      <c r="F15" s="65">
        <v>11</v>
      </c>
      <c r="G15" s="66" t="s">
        <v>57</v>
      </c>
      <c r="H15" s="67">
        <f>SUMIFS(Total, Region, "Ontario", Year, "2007", Month, 'Part 1'!G15)</f>
        <v>479.04</v>
      </c>
    </row>
    <row r="16" spans="1:15" s="58" customFormat="1" ht="15" customHeight="1" x14ac:dyDescent="0.3">
      <c r="A16" s="56"/>
      <c r="B16" s="61"/>
      <c r="C16" s="89" t="s">
        <v>66</v>
      </c>
      <c r="D16" s="89"/>
      <c r="E16" s="89"/>
      <c r="F16" s="65"/>
      <c r="G16" s="90">
        <v>2008</v>
      </c>
      <c r="H16" s="90"/>
      <c r="K16" s="81" t="s">
        <v>68</v>
      </c>
      <c r="L16" s="81"/>
      <c r="M16" s="77">
        <f>SUMIFS(Total, Region, "Alberta", Item, "Binder")</f>
        <v>1279.3599999999999</v>
      </c>
    </row>
    <row r="17" spans="1:13" s="58" customFormat="1" ht="15" customHeight="1" x14ac:dyDescent="0.3">
      <c r="A17" s="56"/>
      <c r="B17" s="61"/>
      <c r="E17" s="59"/>
      <c r="F17" s="65">
        <v>2</v>
      </c>
      <c r="G17" s="66" t="s">
        <v>48</v>
      </c>
      <c r="H17" s="60">
        <f>SUMIFS(Total, Region, "Ontario", Year, "2008", Month, 'Part 1'!G17)</f>
        <v>1305</v>
      </c>
      <c r="K17" s="81" t="s">
        <v>69</v>
      </c>
      <c r="L17" s="81"/>
      <c r="M17" s="76">
        <f>SUMIFS(Units, Region, "Alberta", Item, "Binder")</f>
        <v>64</v>
      </c>
    </row>
    <row r="18" spans="1:13" s="58" customFormat="1" ht="15" customHeight="1" x14ac:dyDescent="0.3">
      <c r="A18" s="56"/>
      <c r="B18" s="61"/>
      <c r="E18" s="59"/>
      <c r="F18" s="65">
        <v>4</v>
      </c>
      <c r="G18" s="66" t="s">
        <v>50</v>
      </c>
      <c r="H18" s="60">
        <f>SUMIFS(Total, Region, "Ontario", Year, "2008", Month, 'Part 1'!G18)</f>
        <v>131.34</v>
      </c>
    </row>
    <row r="19" spans="1:13" s="58" customFormat="1" ht="15" customHeight="1" x14ac:dyDescent="0.3">
      <c r="A19" s="56"/>
      <c r="B19" s="61"/>
      <c r="E19" s="59"/>
      <c r="F19" s="65">
        <v>5</v>
      </c>
      <c r="G19" s="66" t="s">
        <v>51</v>
      </c>
      <c r="H19" s="60">
        <f>SUMIFS(Total, Region, "Ontario", Year, "2008", Month, 'Part 1'!G19)</f>
        <v>787.57</v>
      </c>
    </row>
    <row r="20" spans="1:13" s="58" customFormat="1" ht="15" customHeight="1" x14ac:dyDescent="0.3">
      <c r="A20" s="56"/>
      <c r="B20" s="61"/>
      <c r="E20" s="59"/>
      <c r="F20" s="65">
        <v>7</v>
      </c>
      <c r="G20" s="66" t="s">
        <v>53</v>
      </c>
      <c r="H20" s="60">
        <f>SUMIFS(Total, Region, "Ontario", Year, "2008", Month, 'Part 1'!G20)</f>
        <v>686.95</v>
      </c>
    </row>
    <row r="21" spans="1:13" s="58" customFormat="1" ht="15" customHeight="1" x14ac:dyDescent="0.3">
      <c r="A21" s="56"/>
      <c r="B21" s="61"/>
      <c r="E21" s="59"/>
      <c r="F21" s="65">
        <v>8</v>
      </c>
      <c r="G21" s="66" t="s">
        <v>54</v>
      </c>
      <c r="H21" s="60">
        <f>SUMIFS(Total, Region, "Ontario", Year, "2008", Month, 'Part 1'!G21)</f>
        <v>1005.9</v>
      </c>
    </row>
    <row r="22" spans="1:13" s="58" customFormat="1" ht="15" customHeight="1" x14ac:dyDescent="0.3">
      <c r="A22" s="56"/>
      <c r="B22" s="61"/>
      <c r="E22" s="59"/>
      <c r="F22" s="65">
        <v>12</v>
      </c>
      <c r="G22" s="66" t="s">
        <v>58</v>
      </c>
      <c r="H22" s="60">
        <f>SUMIFS(Total, Region, "Ontario", Year, "2008", Month, 'Part 1'!G22)</f>
        <v>2018.78</v>
      </c>
    </row>
    <row r="23" spans="1:13" s="58" customFormat="1" ht="15" customHeight="1" x14ac:dyDescent="0.3">
      <c r="A23" s="56"/>
      <c r="B23" s="61"/>
      <c r="D23" s="59"/>
      <c r="E23" s="59"/>
      <c r="F23" s="61"/>
      <c r="I23" s="59"/>
      <c r="J23" s="61"/>
    </row>
    <row r="24" spans="1:13" s="58" customFormat="1" ht="15" customHeight="1" x14ac:dyDescent="0.3">
      <c r="A24" s="56"/>
      <c r="B24" s="61"/>
      <c r="D24" s="59"/>
      <c r="E24" s="59"/>
      <c r="F24" s="61"/>
      <c r="G24" s="58" t="s">
        <v>62</v>
      </c>
      <c r="I24" s="59"/>
      <c r="J24" s="61"/>
    </row>
    <row r="25" spans="1:13" s="58" customFormat="1" ht="15" customHeight="1" x14ac:dyDescent="0.3">
      <c r="A25" s="56"/>
      <c r="B25" s="61"/>
      <c r="D25" s="59"/>
      <c r="E25" s="59"/>
      <c r="F25" s="61"/>
      <c r="G25" s="58" t="s">
        <v>63</v>
      </c>
      <c r="I25" s="59"/>
      <c r="J25" s="61"/>
    </row>
    <row r="26" spans="1:13" s="58" customFormat="1" ht="15" customHeight="1" x14ac:dyDescent="0.3">
      <c r="A26" s="56"/>
      <c r="B26" s="61"/>
      <c r="D26" s="59"/>
      <c r="E26" s="59"/>
      <c r="F26" s="61"/>
      <c r="G26" s="58" t="s">
        <v>0</v>
      </c>
      <c r="I26" s="59"/>
      <c r="J26" s="61"/>
    </row>
    <row r="27" spans="1:13" s="58" customFormat="1" ht="15" customHeight="1" x14ac:dyDescent="0.3">
      <c r="A27" s="56"/>
      <c r="B27" s="61"/>
      <c r="D27" s="59"/>
      <c r="E27" s="78" t="s">
        <v>65</v>
      </c>
      <c r="F27" s="79" t="s">
        <v>64</v>
      </c>
      <c r="G27" s="80"/>
      <c r="H27" s="76"/>
      <c r="I27" s="76"/>
      <c r="J27" s="76"/>
      <c r="K27" s="76"/>
    </row>
    <row r="28" spans="1:13" ht="15" customHeight="1" x14ac:dyDescent="0.3">
      <c r="C28" s="58"/>
    </row>
  </sheetData>
  <mergeCells count="15">
    <mergeCell ref="K17:L17"/>
    <mergeCell ref="C15:E15"/>
    <mergeCell ref="M6:N7"/>
    <mergeCell ref="M8:N9"/>
    <mergeCell ref="M10:N11"/>
    <mergeCell ref="C16:E16"/>
    <mergeCell ref="K16:L16"/>
    <mergeCell ref="G9:H9"/>
    <mergeCell ref="G16:H16"/>
    <mergeCell ref="K6:L7"/>
    <mergeCell ref="K8:L9"/>
    <mergeCell ref="K10:L11"/>
    <mergeCell ref="J6:J7"/>
    <mergeCell ref="J8:J9"/>
    <mergeCell ref="J10:J11"/>
  </mergeCells>
  <pageMargins left="0.7" right="0.7" top="0.75" bottom="0.75" header="0.3" footer="0.3"/>
  <pageSetup paperSize="9" orientation="portrait" r:id="rId1"/>
  <ignoredErrors>
    <ignoredError sqref="B7:E8 B13:C13 B9:C9 E9 B10:C10 E10 B11:C11 E11 B12:C12 E12 E13 B6 D6:E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U1048576"/>
  <sheetViews>
    <sheetView topLeftCell="A11" zoomScaleNormal="100" workbookViewId="0">
      <selection activeCell="C30" sqref="C30"/>
    </sheetView>
  </sheetViews>
  <sheetFormatPr defaultColWidth="9.28515625" defaultRowHeight="15" customHeight="1" x14ac:dyDescent="0.3"/>
  <cols>
    <col min="1" max="1" width="2.7109375" style="68" customWidth="1"/>
    <col min="2" max="2" width="3.7109375" style="112" customWidth="1"/>
    <col min="3" max="3" width="112.28515625" style="68" bestFit="1" customWidth="1"/>
    <col min="4" max="4" width="18.42578125" style="111" bestFit="1" customWidth="1"/>
    <col min="5" max="5" width="16.42578125" style="111" customWidth="1"/>
    <col min="6" max="6" width="14.5703125" style="112" customWidth="1"/>
    <col min="7" max="7" width="18.7109375" style="68" customWidth="1"/>
    <col min="8" max="8" width="14.7109375" style="68" customWidth="1"/>
    <col min="9" max="9" width="16.5703125" style="68" customWidth="1"/>
    <col min="10" max="10" width="17.85546875" style="68" customWidth="1"/>
    <col min="11" max="11" width="16.85546875" style="68" customWidth="1"/>
    <col min="12" max="12" width="19.28515625" style="68" customWidth="1"/>
    <col min="13" max="13" width="19" style="111" customWidth="1"/>
    <col min="14" max="14" width="16.5703125" style="112" customWidth="1"/>
    <col min="15" max="15" width="20.42578125" style="68" customWidth="1"/>
    <col min="16" max="16" width="14.85546875" style="68" bestFit="1" customWidth="1"/>
    <col min="17" max="17" width="10.140625" style="68" bestFit="1" customWidth="1"/>
    <col min="18" max="18" width="11.85546875" style="68" bestFit="1" customWidth="1"/>
    <col min="19" max="23" width="10.140625" style="68" bestFit="1" customWidth="1"/>
    <col min="24" max="24" width="11.85546875" style="68" bestFit="1" customWidth="1"/>
    <col min="25" max="25" width="10.28515625" style="68" bestFit="1" customWidth="1"/>
    <col min="26" max="26" width="10.140625" style="68" bestFit="1" customWidth="1"/>
    <col min="27" max="27" width="11.85546875" style="68" bestFit="1" customWidth="1"/>
    <col min="28" max="29" width="10.140625" style="68" bestFit="1" customWidth="1"/>
    <col min="30" max="30" width="11.85546875" style="68" bestFit="1" customWidth="1"/>
    <col min="31" max="31" width="13.42578125" style="68" bestFit="1" customWidth="1"/>
    <col min="32" max="38" width="10.140625" style="68" bestFit="1" customWidth="1"/>
    <col min="39" max="39" width="7.85546875" style="68" bestFit="1" customWidth="1"/>
    <col min="40" max="41" width="9" style="68" bestFit="1" customWidth="1"/>
    <col min="42" max="42" width="11.85546875" style="68" bestFit="1" customWidth="1"/>
    <col min="43" max="43" width="13.140625" style="68" bestFit="1" customWidth="1"/>
    <col min="44" max="46" width="11.7109375" style="68" bestFit="1" customWidth="1"/>
    <col min="47" max="47" width="13.28515625" style="68" bestFit="1" customWidth="1"/>
    <col min="48" max="16384" width="9.28515625" style="68"/>
  </cols>
  <sheetData>
    <row r="1" spans="2:47" s="39" customFormat="1" ht="4.95" customHeight="1" x14ac:dyDescent="0.3">
      <c r="B1" s="97"/>
      <c r="D1" s="98"/>
      <c r="E1" s="98"/>
      <c r="F1" s="97"/>
      <c r="M1" s="98"/>
      <c r="N1" s="97"/>
    </row>
    <row r="2" spans="2:47" s="39" customFormat="1" ht="15.6" x14ac:dyDescent="0.3">
      <c r="B2" s="99" t="s">
        <v>34</v>
      </c>
      <c r="C2" s="100"/>
      <c r="D2" s="101"/>
      <c r="E2" s="101"/>
      <c r="F2" s="102"/>
      <c r="G2" s="100"/>
      <c r="H2" s="100"/>
      <c r="I2" s="100"/>
      <c r="J2" s="100"/>
      <c r="K2" s="100"/>
      <c r="L2" s="100"/>
      <c r="M2" s="101"/>
      <c r="N2" s="102"/>
      <c r="O2" s="100"/>
      <c r="P2" s="100"/>
      <c r="Q2" s="100"/>
      <c r="R2" s="100"/>
      <c r="S2" s="103"/>
    </row>
    <row r="3" spans="2:47" s="39" customFormat="1" ht="16.2" thickBot="1" x14ac:dyDescent="0.35">
      <c r="B3" s="104" t="s">
        <v>35</v>
      </c>
      <c r="C3" s="105"/>
      <c r="D3" s="106"/>
      <c r="E3" s="106"/>
      <c r="F3" s="107"/>
      <c r="G3" s="108"/>
      <c r="H3" s="108"/>
      <c r="I3" s="108"/>
      <c r="J3" s="108"/>
      <c r="K3" s="108"/>
      <c r="L3" s="108"/>
      <c r="M3" s="106"/>
      <c r="N3" s="107"/>
      <c r="O3" s="108"/>
      <c r="P3" s="108"/>
      <c r="Q3" s="108"/>
      <c r="R3" s="108"/>
      <c r="S3" s="109"/>
    </row>
    <row r="4" spans="2:47" s="39" customFormat="1" ht="4.95" customHeight="1" x14ac:dyDescent="0.3">
      <c r="B4" s="110"/>
      <c r="C4" s="100"/>
      <c r="D4" s="101"/>
      <c r="E4" s="101"/>
      <c r="F4" s="102"/>
      <c r="G4" s="100"/>
      <c r="H4" s="100"/>
      <c r="I4" s="100"/>
      <c r="J4" s="100"/>
      <c r="K4" s="100"/>
      <c r="L4" s="100"/>
      <c r="M4" s="101"/>
      <c r="N4" s="102"/>
      <c r="O4" s="100"/>
      <c r="P4" s="100"/>
      <c r="Q4" s="100"/>
      <c r="R4" s="100"/>
      <c r="S4" s="103"/>
    </row>
    <row r="6" spans="2:47" s="56" customFormat="1" ht="15" customHeight="1" thickBot="1" x14ac:dyDescent="0.35">
      <c r="B6" s="138">
        <v>1</v>
      </c>
      <c r="C6" s="137" t="s">
        <v>36</v>
      </c>
      <c r="D6" s="137"/>
      <c r="E6" s="137"/>
      <c r="F6" s="137"/>
      <c r="G6" s="137"/>
      <c r="H6" s="137"/>
      <c r="I6" s="137"/>
      <c r="J6" s="137"/>
      <c r="K6" s="58"/>
      <c r="L6" s="58"/>
      <c r="M6" s="58"/>
      <c r="N6" s="58"/>
      <c r="O6" s="58"/>
      <c r="P6" s="58"/>
    </row>
    <row r="7" spans="2:47" s="56" customFormat="1" ht="15" customHeight="1" x14ac:dyDescent="0.3">
      <c r="B7" s="58"/>
      <c r="C7" s="120" t="s">
        <v>72</v>
      </c>
      <c r="D7" s="121" t="s">
        <v>73</v>
      </c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2:47" s="56" customFormat="1" ht="15" customHeight="1" x14ac:dyDescent="0.3">
      <c r="B8" s="58"/>
      <c r="C8" s="118" t="s">
        <v>70</v>
      </c>
      <c r="D8" s="117" t="s">
        <v>47</v>
      </c>
      <c r="E8" s="117" t="s">
        <v>48</v>
      </c>
      <c r="F8" s="117" t="s">
        <v>49</v>
      </c>
      <c r="G8" s="117" t="s">
        <v>50</v>
      </c>
      <c r="H8" s="117" t="s">
        <v>51</v>
      </c>
      <c r="I8" s="117" t="s">
        <v>52</v>
      </c>
      <c r="J8" s="117" t="s">
        <v>53</v>
      </c>
      <c r="K8" s="117" t="s">
        <v>54</v>
      </c>
      <c r="L8" s="117" t="s">
        <v>55</v>
      </c>
      <c r="M8" s="117" t="s">
        <v>56</v>
      </c>
      <c r="N8" s="117" t="s">
        <v>57</v>
      </c>
      <c r="O8" s="119" t="s">
        <v>58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68"/>
      <c r="AS8" s="68"/>
      <c r="AT8" s="68"/>
      <c r="AU8" s="68"/>
    </row>
    <row r="9" spans="2:47" s="56" customFormat="1" ht="15" customHeight="1" x14ac:dyDescent="0.3">
      <c r="B9" s="70"/>
      <c r="C9" s="123" t="s">
        <v>13</v>
      </c>
      <c r="D9" s="124">
        <v>1413.04</v>
      </c>
      <c r="E9" s="124">
        <v>1324.96</v>
      </c>
      <c r="F9" s="124">
        <v>139.92999999999998</v>
      </c>
      <c r="G9" s="124">
        <v>299.40000000000003</v>
      </c>
      <c r="H9" s="124">
        <v>719.2</v>
      </c>
      <c r="I9" s="124">
        <v>539.4</v>
      </c>
      <c r="J9" s="124">
        <v>1676.8999999999999</v>
      </c>
      <c r="K9" s="124"/>
      <c r="L9" s="124"/>
      <c r="M9" s="124">
        <v>1391.1499999999999</v>
      </c>
      <c r="N9" s="124">
        <v>54.89</v>
      </c>
      <c r="O9" s="125">
        <v>2018.78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 s="68"/>
      <c r="AS9" s="68"/>
      <c r="AT9" s="68"/>
      <c r="AU9" s="68"/>
    </row>
    <row r="10" spans="2:47" s="56" customFormat="1" ht="15" customHeight="1" x14ac:dyDescent="0.3">
      <c r="B10" s="70"/>
      <c r="C10" s="139" t="s">
        <v>24</v>
      </c>
      <c r="D10" s="126"/>
      <c r="E10" s="126"/>
      <c r="F10" s="126"/>
      <c r="G10" s="126"/>
      <c r="H10" s="126"/>
      <c r="I10" s="126">
        <v>625</v>
      </c>
      <c r="J10" s="126"/>
      <c r="K10" s="126">
        <v>825</v>
      </c>
      <c r="L10" s="126">
        <v>250</v>
      </c>
      <c r="M10" s="126"/>
      <c r="N10" s="126"/>
      <c r="O10" s="127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68"/>
      <c r="AS10" s="68"/>
      <c r="AT10" s="68"/>
      <c r="AU10" s="68"/>
    </row>
    <row r="11" spans="2:47" s="56" customFormat="1" ht="15" customHeight="1" x14ac:dyDescent="0.3">
      <c r="B11" s="70"/>
      <c r="C11" s="128" t="s">
        <v>16</v>
      </c>
      <c r="D11" s="129"/>
      <c r="E11" s="129">
        <v>539.7299999999999</v>
      </c>
      <c r="F11" s="129"/>
      <c r="G11" s="129">
        <v>479.04</v>
      </c>
      <c r="H11" s="129"/>
      <c r="I11" s="129"/>
      <c r="J11" s="129"/>
      <c r="K11" s="129"/>
      <c r="L11" s="129">
        <v>151.24</v>
      </c>
      <c r="M11" s="129">
        <v>575.36</v>
      </c>
      <c r="N11" s="129">
        <v>299.84999999999997</v>
      </c>
      <c r="O11" s="130"/>
      <c r="P11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</row>
    <row r="12" spans="2:47" s="56" customFormat="1" ht="15.6" x14ac:dyDescent="0.3">
      <c r="B12" s="70"/>
      <c r="C12" s="131" t="s">
        <v>25</v>
      </c>
      <c r="D12" s="132"/>
      <c r="E12" s="132"/>
      <c r="F12" s="132">
        <v>249.5</v>
      </c>
      <c r="G12" s="132"/>
      <c r="H12" s="132"/>
      <c r="I12" s="132"/>
      <c r="J12" s="132">
        <v>996.33</v>
      </c>
      <c r="K12" s="132">
        <v>1005.9</v>
      </c>
      <c r="L12" s="132">
        <v>255.84</v>
      </c>
      <c r="M12" s="132"/>
      <c r="N12" s="132">
        <v>479.04</v>
      </c>
      <c r="O12" s="133">
        <v>1183.26</v>
      </c>
      <c r="P12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</row>
    <row r="13" spans="2:47" s="56" customFormat="1" ht="15" customHeight="1" thickBot="1" x14ac:dyDescent="0.35">
      <c r="B13" s="70"/>
      <c r="C13" s="134" t="s">
        <v>10</v>
      </c>
      <c r="D13" s="135">
        <v>189.05</v>
      </c>
      <c r="E13" s="135">
        <v>179.64000000000001</v>
      </c>
      <c r="F13" s="135">
        <v>167.44</v>
      </c>
      <c r="G13" s="135">
        <v>280.59000000000003</v>
      </c>
      <c r="H13" s="135">
        <v>581.15</v>
      </c>
      <c r="I13" s="135">
        <v>449.1</v>
      </c>
      <c r="J13" s="135"/>
      <c r="K13" s="135">
        <v>174.65</v>
      </c>
      <c r="L13" s="135">
        <v>9.0300000000000011</v>
      </c>
      <c r="M13" s="135">
        <v>18.060000000000002</v>
      </c>
      <c r="N13" s="135"/>
      <c r="O13" s="136">
        <v>86.43</v>
      </c>
      <c r="P13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</row>
    <row r="14" spans="2:47" s="56" customFormat="1" ht="15" customHeight="1" x14ac:dyDescent="0.3">
      <c r="B14" s="70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</row>
    <row r="15" spans="2:47" s="56" customFormat="1" ht="15" customHeight="1" x14ac:dyDescent="0.3">
      <c r="B15" s="70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</row>
    <row r="16" spans="2:47" s="56" customFormat="1" ht="15" customHeight="1" x14ac:dyDescent="0.3">
      <c r="B16" s="70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</row>
    <row r="17" spans="2:47" s="56" customFormat="1" ht="15" customHeight="1" x14ac:dyDescent="0.3">
      <c r="B17" s="70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</row>
    <row r="18" spans="2:47" s="56" customFormat="1" ht="15" customHeight="1" x14ac:dyDescent="0.3">
      <c r="B18" s="68"/>
      <c r="C18" s="115" t="s">
        <v>2</v>
      </c>
      <c r="D18" t="s">
        <v>8</v>
      </c>
      <c r="E18"/>
      <c r="F18"/>
      <c r="G18"/>
      <c r="H18"/>
      <c r="I1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</row>
    <row r="19" spans="2:47" s="56" customFormat="1" ht="15" customHeight="1" x14ac:dyDescent="0.3">
      <c r="B19" s="114">
        <v>2</v>
      </c>
      <c r="C19" s="56" t="s">
        <v>37</v>
      </c>
      <c r="D19"/>
      <c r="E19"/>
      <c r="F19"/>
      <c r="G19"/>
      <c r="H19"/>
      <c r="I19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</row>
    <row r="20" spans="2:47" s="56" customFormat="1" ht="15" customHeight="1" x14ac:dyDescent="0.3">
      <c r="B20" s="68"/>
      <c r="C20" s="115" t="s">
        <v>70</v>
      </c>
      <c r="D20" t="s">
        <v>74</v>
      </c>
      <c r="E20"/>
      <c r="F20"/>
      <c r="G20"/>
      <c r="H20"/>
      <c r="I20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</row>
    <row r="21" spans="2:47" s="56" customFormat="1" ht="15" customHeight="1" x14ac:dyDescent="0.3">
      <c r="C21" s="116" t="s">
        <v>13</v>
      </c>
      <c r="D21" s="140">
        <v>5</v>
      </c>
      <c r="E21"/>
      <c r="F21"/>
      <c r="G21"/>
      <c r="H21"/>
      <c r="I21"/>
      <c r="J21" s="68"/>
      <c r="K21" s="68"/>
      <c r="L21" s="68"/>
      <c r="M21" s="111"/>
      <c r="N21" s="112"/>
      <c r="O21" s="68"/>
      <c r="P21" s="68"/>
    </row>
    <row r="22" spans="2:47" s="56" customFormat="1" ht="15" customHeight="1" x14ac:dyDescent="0.3">
      <c r="C22" s="116" t="s">
        <v>16</v>
      </c>
      <c r="D22" s="140">
        <v>3</v>
      </c>
      <c r="E22"/>
      <c r="F22"/>
      <c r="G22"/>
      <c r="H22"/>
      <c r="I22"/>
      <c r="J22" s="68"/>
      <c r="K22" s="68"/>
      <c r="L22" s="68"/>
      <c r="M22" s="111"/>
      <c r="N22" s="112"/>
      <c r="O22" s="68"/>
      <c r="P22" s="68"/>
    </row>
    <row r="23" spans="2:47" s="56" customFormat="1" ht="15" customHeight="1" x14ac:dyDescent="0.3">
      <c r="C23" s="116" t="s">
        <v>25</v>
      </c>
      <c r="D23" s="140">
        <v>3</v>
      </c>
      <c r="E23"/>
      <c r="F23"/>
      <c r="G23"/>
      <c r="H23"/>
      <c r="I23"/>
      <c r="J23" s="68"/>
      <c r="K23" s="68"/>
      <c r="L23" s="68"/>
      <c r="M23" s="111"/>
      <c r="N23" s="112"/>
      <c r="O23" s="68"/>
      <c r="P23" s="68"/>
    </row>
    <row r="24" spans="2:47" s="56" customFormat="1" ht="15" customHeight="1" x14ac:dyDescent="0.3">
      <c r="C24" s="116" t="s">
        <v>10</v>
      </c>
      <c r="D24" s="140">
        <v>2</v>
      </c>
      <c r="E24"/>
      <c r="F24"/>
      <c r="G24"/>
      <c r="H24"/>
      <c r="I24"/>
      <c r="J24" s="68"/>
      <c r="K24" s="68"/>
      <c r="L24" s="68"/>
      <c r="M24" s="111"/>
      <c r="N24" s="112"/>
      <c r="O24" s="68"/>
      <c r="P24" s="68"/>
    </row>
    <row r="25" spans="2:47" s="56" customFormat="1" ht="15" customHeight="1" x14ac:dyDescent="0.3">
      <c r="C25" s="116" t="s">
        <v>71</v>
      </c>
      <c r="D25" s="140">
        <v>13</v>
      </c>
      <c r="E25"/>
      <c r="F25" s="112"/>
      <c r="G25" s="68"/>
      <c r="H25" s="68"/>
      <c r="I25" s="68"/>
      <c r="J25" s="68"/>
      <c r="K25" s="68"/>
      <c r="L25" s="68"/>
      <c r="M25" s="111"/>
      <c r="N25" s="112"/>
      <c r="O25" s="68"/>
      <c r="P25" s="68"/>
    </row>
    <row r="26" spans="2:47" s="56" customFormat="1" ht="15" customHeight="1" x14ac:dyDescent="0.3">
      <c r="C26"/>
      <c r="D26"/>
      <c r="E26"/>
      <c r="F26" s="112"/>
      <c r="G26" s="68"/>
      <c r="H26" s="68"/>
      <c r="I26" s="68"/>
      <c r="J26" s="68"/>
      <c r="K26" s="68"/>
      <c r="L26" s="68"/>
      <c r="M26" s="111"/>
      <c r="N26" s="112"/>
      <c r="O26" s="68"/>
      <c r="P26" s="68"/>
    </row>
    <row r="27" spans="2:47" s="56" customFormat="1" ht="15" customHeight="1" x14ac:dyDescent="0.3">
      <c r="C27"/>
      <c r="D27"/>
      <c r="E27"/>
      <c r="F27" s="112"/>
      <c r="G27" s="68"/>
      <c r="H27" s="68"/>
      <c r="I27" s="68"/>
      <c r="J27" s="68"/>
      <c r="K27" s="68"/>
      <c r="L27" s="68"/>
      <c r="M27" s="111"/>
      <c r="N27" s="112"/>
      <c r="O27" s="68"/>
      <c r="P27" s="68"/>
    </row>
    <row r="28" spans="2:47" s="56" customFormat="1" ht="15" customHeight="1" x14ac:dyDescent="0.3">
      <c r="C28"/>
      <c r="D28"/>
      <c r="E28"/>
      <c r="F28" s="112"/>
      <c r="G28" s="68"/>
      <c r="H28" s="68"/>
      <c r="I28" s="68"/>
      <c r="J28" s="68"/>
      <c r="K28" s="68"/>
      <c r="L28" s="68"/>
      <c r="M28" s="111"/>
      <c r="N28" s="112"/>
      <c r="O28" s="68"/>
      <c r="P28" s="68"/>
    </row>
    <row r="29" spans="2:47" s="56" customFormat="1" ht="15" customHeight="1" x14ac:dyDescent="0.3">
      <c r="B29" s="113"/>
      <c r="C29"/>
      <c r="D29"/>
      <c r="E29"/>
      <c r="F29" s="112"/>
      <c r="G29" s="68"/>
      <c r="H29" s="68"/>
      <c r="I29" s="68"/>
      <c r="J29" s="68"/>
      <c r="K29" s="68"/>
      <c r="L29" s="68"/>
      <c r="M29" s="111"/>
      <c r="N29" s="112"/>
      <c r="O29" s="68"/>
      <c r="P29" s="68"/>
    </row>
    <row r="30" spans="2:47" s="56" customFormat="1" ht="15" customHeight="1" x14ac:dyDescent="0.3">
      <c r="B30" s="113"/>
      <c r="C30"/>
      <c r="D30"/>
      <c r="E30"/>
      <c r="F30" s="112"/>
      <c r="G30" s="68"/>
      <c r="H30" s="68"/>
      <c r="I30" s="68"/>
      <c r="J30" s="68"/>
      <c r="K30" s="68"/>
      <c r="L30" s="68"/>
      <c r="M30" s="111"/>
      <c r="N30" s="112"/>
      <c r="O30" s="68"/>
      <c r="P30" s="68"/>
    </row>
    <row r="31" spans="2:47" ht="15" customHeight="1" x14ac:dyDescent="0.3">
      <c r="C31"/>
      <c r="D31"/>
      <c r="E31"/>
    </row>
    <row r="32" spans="2:47" ht="15" customHeight="1" x14ac:dyDescent="0.3">
      <c r="C32"/>
      <c r="D32"/>
      <c r="E32"/>
    </row>
    <row r="33" spans="3:5" ht="15" customHeight="1" x14ac:dyDescent="0.3">
      <c r="C33"/>
      <c r="D33"/>
      <c r="E33"/>
    </row>
    <row r="34" spans="3:5" ht="15" customHeight="1" x14ac:dyDescent="0.3">
      <c r="C34"/>
      <c r="D34"/>
      <c r="E34"/>
    </row>
    <row r="35" spans="3:5" ht="15" customHeight="1" x14ac:dyDescent="0.3">
      <c r="C35"/>
      <c r="D35"/>
      <c r="E35"/>
    </row>
    <row r="36" spans="3:5" ht="15" customHeight="1" x14ac:dyDescent="0.3">
      <c r="C36"/>
      <c r="D36"/>
      <c r="E36"/>
    </row>
    <row r="37" spans="3:5" ht="15" customHeight="1" x14ac:dyDescent="0.3">
      <c r="C37"/>
      <c r="D37"/>
      <c r="E37"/>
    </row>
    <row r="38" spans="3:5" ht="15" customHeight="1" x14ac:dyDescent="0.3">
      <c r="C38"/>
      <c r="D38"/>
    </row>
    <row r="39" spans="3:5" ht="15" customHeight="1" x14ac:dyDescent="0.3">
      <c r="C39"/>
      <c r="D39"/>
    </row>
    <row r="40" spans="3:5" ht="15" customHeight="1" x14ac:dyDescent="0.3">
      <c r="C40"/>
      <c r="D40"/>
    </row>
    <row r="41" spans="3:5" ht="15" customHeight="1" x14ac:dyDescent="0.3">
      <c r="C41"/>
      <c r="D41"/>
    </row>
    <row r="42" spans="3:5" ht="15" customHeight="1" x14ac:dyDescent="0.3">
      <c r="C42"/>
      <c r="D42"/>
    </row>
    <row r="43" spans="3:5" ht="15" customHeight="1" x14ac:dyDescent="0.3">
      <c r="C43"/>
      <c r="D43"/>
    </row>
    <row r="44" spans="3:5" ht="15" customHeight="1" x14ac:dyDescent="0.3">
      <c r="C44"/>
      <c r="D44"/>
    </row>
    <row r="45" spans="3:5" ht="15" customHeight="1" x14ac:dyDescent="0.3">
      <c r="C45"/>
      <c r="D45"/>
    </row>
    <row r="46" spans="3:5" ht="15" customHeight="1" x14ac:dyDescent="0.3">
      <c r="C46"/>
      <c r="D46"/>
    </row>
    <row r="47" spans="3:5" ht="15" customHeight="1" x14ac:dyDescent="0.3">
      <c r="C47"/>
      <c r="D47"/>
    </row>
    <row r="48" spans="3:5" ht="15" customHeight="1" x14ac:dyDescent="0.3">
      <c r="C48"/>
      <c r="D48"/>
    </row>
    <row r="49" spans="3:4" ht="15" customHeight="1" x14ac:dyDescent="0.3">
      <c r="C49"/>
      <c r="D49"/>
    </row>
    <row r="50" spans="3:4" ht="15" customHeight="1" x14ac:dyDescent="0.3">
      <c r="C50"/>
      <c r="D50"/>
    </row>
    <row r="1048409" ht="15" hidden="1" customHeight="1" x14ac:dyDescent="0.3"/>
    <row r="1048567" spans="2:11" ht="15" customHeight="1" x14ac:dyDescent="0.3">
      <c r="B1048567" s="68"/>
      <c r="D1048567" s="56"/>
      <c r="E1048567" s="56"/>
      <c r="F1048567" s="56"/>
      <c r="G1048567" s="56"/>
      <c r="H1048567" s="56"/>
      <c r="I1048567" s="56"/>
      <c r="J1048567" s="56"/>
      <c r="K1048567" s="56"/>
    </row>
    <row r="1048569" spans="2:11" ht="15" customHeight="1" x14ac:dyDescent="0.3">
      <c r="D1048569" s="68"/>
    </row>
    <row r="1048570" spans="2:11" ht="15" customHeight="1" x14ac:dyDescent="0.3">
      <c r="D1048570" s="68"/>
    </row>
    <row r="1048572" spans="2:11" ht="15" customHeight="1" x14ac:dyDescent="0.3">
      <c r="D1048572" s="68"/>
      <c r="E1048572" s="68"/>
      <c r="F1048572" s="68"/>
    </row>
    <row r="1048573" spans="2:11" ht="15" customHeight="1" x14ac:dyDescent="0.3">
      <c r="D1048573" s="68"/>
      <c r="E1048573" s="68"/>
      <c r="F1048573" s="68"/>
    </row>
    <row r="1048574" spans="2:11" ht="15" customHeight="1" x14ac:dyDescent="0.3">
      <c r="D1048574" s="68"/>
      <c r="E1048574" s="68"/>
      <c r="F1048574" s="68"/>
    </row>
    <row r="1048575" spans="2:11" ht="15" customHeight="1" x14ac:dyDescent="0.3">
      <c r="D1048575" s="68"/>
      <c r="E1048575" s="68"/>
      <c r="F1048575" s="68"/>
    </row>
    <row r="1048576" spans="2:11" ht="15" customHeight="1" x14ac:dyDescent="0.3">
      <c r="D1048576" s="68"/>
      <c r="E1048576" s="68"/>
      <c r="F1048576" s="68"/>
    </row>
  </sheetData>
  <mergeCells count="1">
    <mergeCell ref="C6:J6"/>
  </mergeCell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W42"/>
  <sheetViews>
    <sheetView showGridLines="0" showRowColHeaders="0" tabSelected="1" zoomScale="85" zoomScaleNormal="85" workbookViewId="0">
      <pane ySplit="4" topLeftCell="A5" activePane="bottomLeft" state="frozen"/>
      <selection pane="bottomLeft" activeCell="O18" sqref="O18"/>
    </sheetView>
  </sheetViews>
  <sheetFormatPr defaultColWidth="9.28515625" defaultRowHeight="15" customHeight="1" x14ac:dyDescent="0.45"/>
  <cols>
    <col min="1" max="1" width="2.7109375" style="2" customWidth="1"/>
    <col min="2" max="2" width="3.7109375" style="3" customWidth="1"/>
    <col min="3" max="3" width="17" style="1" customWidth="1"/>
    <col min="4" max="5" width="10.7109375" style="4" customWidth="1"/>
    <col min="6" max="6" width="10.7109375" style="3" customWidth="1"/>
    <col min="7" max="12" width="10.7109375" style="1" customWidth="1"/>
    <col min="13" max="13" width="3.7109375" style="4" customWidth="1"/>
    <col min="14" max="14" width="10.7109375" style="3" customWidth="1"/>
    <col min="15" max="15" width="17" style="1" bestFit="1" customWidth="1"/>
    <col min="16" max="16" width="14.28515625" style="1" bestFit="1" customWidth="1"/>
    <col min="17" max="17" width="10.7109375" style="1" customWidth="1"/>
    <col min="18" max="18" width="17" style="1" bestFit="1" customWidth="1"/>
    <col min="19" max="19" width="15.42578125" style="1" bestFit="1" customWidth="1"/>
    <col min="20" max="20" width="10.7109375" style="1" customWidth="1"/>
    <col min="21" max="21" width="17" style="1" bestFit="1" customWidth="1"/>
    <col min="22" max="22" width="18.28515625" style="1" bestFit="1" customWidth="1"/>
    <col min="23" max="23" width="10.7109375" style="1" customWidth="1"/>
    <col min="24" max="16384" width="9.28515625" style="1"/>
  </cols>
  <sheetData>
    <row r="1" spans="1:23" s="22" customFormat="1" ht="4.95" customHeight="1" x14ac:dyDescent="0.45">
      <c r="A1" s="18"/>
      <c r="B1" s="19"/>
      <c r="C1" s="20"/>
      <c r="D1" s="21"/>
      <c r="E1" s="21"/>
      <c r="F1" s="19"/>
      <c r="G1" s="20"/>
      <c r="H1" s="20"/>
      <c r="I1" s="20"/>
      <c r="J1" s="20"/>
      <c r="K1" s="20"/>
      <c r="L1" s="20"/>
      <c r="M1" s="21"/>
      <c r="N1" s="19"/>
      <c r="O1" s="20"/>
      <c r="P1" s="20"/>
      <c r="Q1" s="20"/>
      <c r="R1" s="20"/>
      <c r="S1" s="20"/>
    </row>
    <row r="2" spans="1:23" s="22" customFormat="1" ht="19.2" x14ac:dyDescent="0.45">
      <c r="A2" s="18"/>
      <c r="B2" s="23" t="s">
        <v>39</v>
      </c>
      <c r="C2" s="24"/>
      <c r="D2" s="25"/>
      <c r="E2" s="25"/>
      <c r="F2" s="26"/>
      <c r="G2" s="24"/>
      <c r="H2" s="24"/>
      <c r="I2" s="24"/>
      <c r="J2" s="24"/>
      <c r="K2" s="24"/>
      <c r="L2" s="24"/>
      <c r="M2" s="25"/>
      <c r="N2" s="26"/>
      <c r="O2" s="24"/>
      <c r="P2" s="24"/>
      <c r="Q2" s="24"/>
      <c r="R2" s="24"/>
      <c r="S2" s="27"/>
    </row>
    <row r="3" spans="1:23" s="22" customFormat="1" ht="19.8" thickBot="1" x14ac:dyDescent="0.5">
      <c r="A3" s="18"/>
      <c r="B3" s="33" t="s">
        <v>38</v>
      </c>
      <c r="C3" s="34"/>
      <c r="D3" s="29"/>
      <c r="E3" s="29"/>
      <c r="F3" s="30"/>
      <c r="G3" s="28"/>
      <c r="H3" s="28"/>
      <c r="I3" s="28"/>
      <c r="J3" s="28"/>
      <c r="K3" s="28"/>
      <c r="L3" s="28"/>
      <c r="M3" s="29"/>
      <c r="N3" s="30"/>
      <c r="O3" s="28"/>
      <c r="P3" s="28"/>
      <c r="Q3" s="28"/>
      <c r="R3" s="28"/>
      <c r="S3" s="31"/>
    </row>
    <row r="4" spans="1:23" s="22" customFormat="1" ht="4.95" customHeight="1" x14ac:dyDescent="0.45">
      <c r="A4" s="18"/>
      <c r="B4" s="32"/>
      <c r="C4" s="24"/>
      <c r="D4" s="25"/>
      <c r="E4" s="25"/>
      <c r="F4" s="26"/>
      <c r="G4" s="24"/>
      <c r="H4" s="24"/>
      <c r="I4" s="24"/>
      <c r="J4" s="24"/>
      <c r="K4" s="24"/>
      <c r="L4" s="24"/>
      <c r="M4" s="25"/>
      <c r="N4" s="26"/>
      <c r="O4" s="24"/>
      <c r="P4" s="24"/>
      <c r="Q4" s="24"/>
      <c r="R4" s="24"/>
      <c r="S4" s="27"/>
    </row>
    <row r="6" spans="1:23" s="15" customFormat="1" ht="15" customHeight="1" x14ac:dyDescent="0.45">
      <c r="A6" s="13"/>
      <c r="B6" s="14" t="s">
        <v>26</v>
      </c>
      <c r="C6" s="15" t="s">
        <v>40</v>
      </c>
      <c r="M6" s="14"/>
    </row>
    <row r="7" spans="1:23" s="15" customFormat="1" ht="19.2" x14ac:dyDescent="0.45">
      <c r="A7" s="13"/>
      <c r="O7"/>
      <c r="P7"/>
      <c r="Q7"/>
      <c r="R7"/>
      <c r="S7"/>
      <c r="T7"/>
      <c r="U7"/>
      <c r="V7"/>
      <c r="W7"/>
    </row>
    <row r="8" spans="1:23" s="15" customFormat="1" ht="19.2" x14ac:dyDescent="0.45">
      <c r="A8" s="13"/>
      <c r="C8" s="15" t="s">
        <v>2</v>
      </c>
      <c r="O8"/>
      <c r="P8"/>
      <c r="Q8"/>
      <c r="R8"/>
      <c r="S8"/>
      <c r="T8"/>
      <c r="U8"/>
      <c r="V8"/>
      <c r="W8"/>
    </row>
    <row r="9" spans="1:23" s="15" customFormat="1" ht="19.2" x14ac:dyDescent="0.45">
      <c r="A9" s="13"/>
      <c r="C9" s="15" t="s">
        <v>3</v>
      </c>
      <c r="O9"/>
      <c r="P9"/>
      <c r="Q9"/>
      <c r="R9"/>
      <c r="S9"/>
      <c r="T9"/>
      <c r="U9"/>
      <c r="V9"/>
      <c r="W9"/>
    </row>
    <row r="10" spans="1:23" s="15" customFormat="1" ht="19.2" x14ac:dyDescent="0.45">
      <c r="A10" s="13"/>
      <c r="C10" s="15" t="s">
        <v>4</v>
      </c>
      <c r="O10"/>
      <c r="P10"/>
      <c r="Q10"/>
      <c r="R10"/>
      <c r="S10"/>
      <c r="T10"/>
      <c r="U10"/>
      <c r="V10"/>
      <c r="W10"/>
    </row>
    <row r="11" spans="1:23" s="15" customFormat="1" ht="19.2" x14ac:dyDescent="0.45">
      <c r="A11" s="13"/>
      <c r="O11"/>
      <c r="P11"/>
      <c r="Q11"/>
      <c r="R11"/>
      <c r="S11"/>
      <c r="T11"/>
      <c r="U11"/>
      <c r="V11"/>
      <c r="W11"/>
    </row>
    <row r="12" spans="1:23" s="15" customFormat="1" ht="19.2" x14ac:dyDescent="0.45">
      <c r="A12" s="13"/>
      <c r="B12" s="35" t="s">
        <v>27</v>
      </c>
      <c r="C12" s="15" t="s">
        <v>44</v>
      </c>
      <c r="O12"/>
      <c r="P12"/>
      <c r="Q12"/>
      <c r="R12"/>
      <c r="S12"/>
      <c r="T12"/>
      <c r="U12"/>
      <c r="V12"/>
      <c r="W12"/>
    </row>
    <row r="13" spans="1:23" s="15" customFormat="1" ht="19.2" x14ac:dyDescent="0.45">
      <c r="A13" s="13"/>
      <c r="O13"/>
      <c r="P13"/>
      <c r="Q13"/>
      <c r="R13"/>
      <c r="S13"/>
      <c r="T13"/>
      <c r="U13"/>
      <c r="V13"/>
      <c r="W13"/>
    </row>
    <row r="14" spans="1:23" s="15" customFormat="1" ht="19.2" x14ac:dyDescent="0.45">
      <c r="A14" s="13"/>
      <c r="C14" s="15" t="s">
        <v>41</v>
      </c>
      <c r="O14"/>
      <c r="P14"/>
      <c r="Q14"/>
      <c r="R14"/>
      <c r="S14"/>
      <c r="T14"/>
      <c r="U14"/>
      <c r="V14"/>
      <c r="W14"/>
    </row>
    <row r="15" spans="1:23" s="15" customFormat="1" ht="19.2" x14ac:dyDescent="0.45">
      <c r="A15" s="13"/>
      <c r="C15" s="15" t="s">
        <v>42</v>
      </c>
      <c r="O15"/>
      <c r="P15"/>
      <c r="Q15"/>
      <c r="R15"/>
      <c r="S15"/>
      <c r="T15"/>
      <c r="U15"/>
      <c r="V15"/>
      <c r="W15"/>
    </row>
    <row r="16" spans="1:23" s="15" customFormat="1" ht="19.2" x14ac:dyDescent="0.45">
      <c r="A16" s="13"/>
      <c r="C16" s="15" t="s">
        <v>43</v>
      </c>
      <c r="O16"/>
      <c r="P16"/>
      <c r="Q16"/>
      <c r="R16"/>
      <c r="S16"/>
      <c r="T16"/>
      <c r="U16"/>
      <c r="V16"/>
      <c r="W16"/>
    </row>
    <row r="17" spans="1:23" s="15" customFormat="1" ht="19.2" x14ac:dyDescent="0.45">
      <c r="A17" s="13"/>
      <c r="O17"/>
      <c r="P17"/>
      <c r="Q17"/>
      <c r="R17"/>
      <c r="S17"/>
      <c r="T17"/>
      <c r="U17"/>
      <c r="V17"/>
      <c r="W17"/>
    </row>
    <row r="18" spans="1:23" s="15" customFormat="1" ht="19.2" x14ac:dyDescent="0.45">
      <c r="A18" s="13"/>
      <c r="O18"/>
      <c r="P18"/>
      <c r="Q18"/>
      <c r="R18"/>
      <c r="S18"/>
      <c r="T18"/>
      <c r="U18"/>
      <c r="V18"/>
      <c r="W18"/>
    </row>
    <row r="19" spans="1:23" s="15" customFormat="1" ht="19.2" x14ac:dyDescent="0.45">
      <c r="A19" s="13"/>
      <c r="O19"/>
      <c r="P19"/>
      <c r="Q19"/>
      <c r="R19"/>
      <c r="S19"/>
      <c r="T19"/>
      <c r="U19"/>
      <c r="V19"/>
      <c r="W19"/>
    </row>
    <row r="20" spans="1:23" s="15" customFormat="1" ht="19.2" x14ac:dyDescent="0.45">
      <c r="A20" s="13"/>
      <c r="O20"/>
      <c r="P20"/>
      <c r="Q20"/>
      <c r="R20"/>
      <c r="S20"/>
      <c r="T20"/>
      <c r="U20"/>
      <c r="V20"/>
      <c r="W20"/>
    </row>
    <row r="21" spans="1:23" s="15" customFormat="1" ht="19.2" x14ac:dyDescent="0.45">
      <c r="A21" s="13"/>
      <c r="O21"/>
      <c r="P21"/>
      <c r="Q21"/>
      <c r="R21"/>
      <c r="S21"/>
      <c r="T21"/>
      <c r="U21"/>
      <c r="V21"/>
      <c r="W21"/>
    </row>
    <row r="22" spans="1:23" s="15" customFormat="1" ht="19.2" x14ac:dyDescent="0.45">
      <c r="A22" s="13"/>
      <c r="O22"/>
      <c r="P22"/>
      <c r="Q22"/>
      <c r="R22"/>
      <c r="S22"/>
      <c r="T22"/>
      <c r="U22"/>
      <c r="V22"/>
      <c r="W22"/>
    </row>
    <row r="23" spans="1:23" s="15" customFormat="1" ht="19.2" x14ac:dyDescent="0.45">
      <c r="A23" s="13"/>
      <c r="O23"/>
      <c r="P23"/>
      <c r="Q23"/>
      <c r="R23"/>
      <c r="S23"/>
      <c r="T23"/>
      <c r="U23"/>
      <c r="V23"/>
      <c r="W23"/>
    </row>
    <row r="24" spans="1:23" s="15" customFormat="1" ht="19.2" x14ac:dyDescent="0.45">
      <c r="A24" s="13"/>
      <c r="O24"/>
      <c r="P24"/>
      <c r="Q24"/>
      <c r="R24"/>
      <c r="S24"/>
      <c r="T24"/>
      <c r="U24"/>
      <c r="V24"/>
      <c r="W24"/>
    </row>
    <row r="25" spans="1:23" s="15" customFormat="1" ht="19.2" x14ac:dyDescent="0.45">
      <c r="A25" s="13"/>
      <c r="R25"/>
    </row>
    <row r="26" spans="1:23" s="15" customFormat="1" ht="19.2" x14ac:dyDescent="0.45">
      <c r="A26" s="13"/>
      <c r="B26" s="17"/>
      <c r="D26" s="16"/>
      <c r="E26" s="16"/>
      <c r="F26" s="17"/>
      <c r="M26" s="16"/>
      <c r="N26" s="17"/>
      <c r="R26"/>
    </row>
    <row r="27" spans="1:23" s="15" customFormat="1" ht="19.2" x14ac:dyDescent="0.45">
      <c r="A27" s="13"/>
      <c r="B27" s="17"/>
      <c r="D27" s="16"/>
      <c r="E27" s="16"/>
      <c r="F27" s="17"/>
      <c r="M27" s="16"/>
      <c r="N27" s="17"/>
      <c r="R27"/>
    </row>
    <row r="28" spans="1:23" ht="19.2" x14ac:dyDescent="0.45">
      <c r="R28"/>
    </row>
    <row r="29" spans="1:23" ht="19.2" x14ac:dyDescent="0.45">
      <c r="R29"/>
    </row>
    <row r="30" spans="1:23" ht="19.2" x14ac:dyDescent="0.45">
      <c r="R30"/>
    </row>
    <row r="31" spans="1:23" ht="19.2" x14ac:dyDescent="0.45">
      <c r="R31"/>
    </row>
    <row r="32" spans="1:23" ht="19.2" x14ac:dyDescent="0.45">
      <c r="R32"/>
    </row>
    <row r="33" spans="18:18" ht="19.2" x14ac:dyDescent="0.45">
      <c r="R33"/>
    </row>
    <row r="34" spans="18:18" ht="19.2" x14ac:dyDescent="0.45">
      <c r="R34"/>
    </row>
    <row r="35" spans="18:18" ht="19.2" x14ac:dyDescent="0.45">
      <c r="R35"/>
    </row>
    <row r="36" spans="18:18" ht="19.2" x14ac:dyDescent="0.45">
      <c r="R36"/>
    </row>
    <row r="37" spans="18:18" ht="19.2" x14ac:dyDescent="0.45">
      <c r="R37"/>
    </row>
    <row r="38" spans="18:18" ht="19.2" x14ac:dyDescent="0.45">
      <c r="R38"/>
    </row>
    <row r="39" spans="18:18" ht="19.2" x14ac:dyDescent="0.45">
      <c r="R39"/>
    </row>
    <row r="40" spans="18:18" ht="19.2" x14ac:dyDescent="0.45">
      <c r="R40"/>
    </row>
    <row r="41" spans="18:18" ht="19.2" x14ac:dyDescent="0.45">
      <c r="R41"/>
    </row>
    <row r="42" spans="18:18" ht="19.2" x14ac:dyDescent="0.45">
      <c r="R4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Raw data</vt:lpstr>
      <vt:lpstr>Part 1</vt:lpstr>
      <vt:lpstr>Part 2</vt:lpstr>
      <vt:lpstr>Part 3</vt:lpstr>
      <vt:lpstr>Date</vt:lpstr>
      <vt:lpstr>Employee</vt:lpstr>
      <vt:lpstr>Item</vt:lpstr>
      <vt:lpstr>Month</vt:lpstr>
      <vt:lpstr>Region</vt:lpstr>
      <vt:lpstr>Total</vt:lpstr>
      <vt:lpstr>Unit_Cost</vt:lpstr>
      <vt:lpstr>Units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U0119621</dc:creator>
  <cp:lastModifiedBy>Aryan Jaiswal</cp:lastModifiedBy>
  <dcterms:created xsi:type="dcterms:W3CDTF">2018-09-03T18:39:10Z</dcterms:created>
  <dcterms:modified xsi:type="dcterms:W3CDTF">2025-11-28T06:23:59Z</dcterms:modified>
</cp:coreProperties>
</file>