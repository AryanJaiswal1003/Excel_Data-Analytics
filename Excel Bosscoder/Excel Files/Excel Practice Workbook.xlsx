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ha\Desktop\"/>
    </mc:Choice>
  </mc:AlternateContent>
  <xr:revisionPtr revIDLastSave="0" documentId="13_ncr:1_{FBB55267-01AA-4857-B265-B85AF0AE276D}" xr6:coauthVersionLast="47" xr6:coauthVersionMax="47" xr10:uidLastSave="{00000000-0000-0000-0000-000000000000}"/>
  <bookViews>
    <workbookView xWindow="-108" yWindow="-108" windowWidth="23256" windowHeight="12456" activeTab="10" xr2:uid="{17B861C2-9152-42A0-8294-F731D1BDA66E}"/>
  </bookViews>
  <sheets>
    <sheet name="1" sheetId="3" r:id="rId1"/>
    <sheet name="3" sheetId="2" r:id="rId2"/>
    <sheet name="4" sheetId="6" r:id="rId3"/>
    <sheet name="5" sheetId="7" r:id="rId4"/>
    <sheet name="6" sheetId="8" r:id="rId5"/>
    <sheet name="7" sheetId="9" r:id="rId6"/>
    <sheet name="8" sheetId="19" r:id="rId7"/>
    <sheet name="9" sheetId="10" r:id="rId8"/>
    <sheet name="10" sheetId="20" r:id="rId9"/>
    <sheet name="11" sheetId="21" r:id="rId10"/>
    <sheet name="12" sheetId="16" r:id="rId11"/>
    <sheet name="13" sheetId="17" r:id="rId12"/>
    <sheet name="14" sheetId="18" r:id="rId13"/>
  </sheets>
  <definedNames>
    <definedName name="_xlnm._FilterDatabase" localSheetId="8" hidden="1">'10'!$E$4:$E$84</definedName>
    <definedName name="_xlnm._FilterDatabase" localSheetId="12" hidden="1">'14'!$B$3:$B$17</definedName>
    <definedName name="_xlnm._FilterDatabase" localSheetId="3" hidden="1">'5'!$B$3:$H$96</definedName>
    <definedName name="_xlnm._FilterDatabase" localSheetId="7" hidden="1">'9'!$B$2:$F$95</definedName>
    <definedName name="Bonus">'5'!$H$4:$H$96</definedName>
    <definedName name="Car_Reg">'8'!$B$7:$B$16</definedName>
    <definedName name="Category_Labels">'4'!$F$4:$F$12</definedName>
    <definedName name="_xlnm.Criteria" localSheetId="8">'10'!#REF!</definedName>
    <definedName name="_xlnm.Extract" localSheetId="8">'10'!#REF!</definedName>
    <definedName name="_xlnm.Extract" localSheetId="12">'14'!$D$3</definedName>
    <definedName name="Grade">'6'!$C$4:$C$11</definedName>
    <definedName name="Grade_Rewarded">'6'!$D$14:$D$21</definedName>
    <definedName name="Marks">'6'!$B$4:$B$11</definedName>
    <definedName name="Marks_Obtained">'6'!$B$14:$B$21</definedName>
    <definedName name="No_Hours_Parked">'8'!$C$7:$C$16</definedName>
    <definedName name="Parking_Charge">'8'!$D$7:$D$16</definedName>
    <definedName name="Plays_Sports">'6'!$C$14:$C$21</definedName>
    <definedName name="Price_Category">'4'!$E$4:$E$12</definedName>
    <definedName name="Product_Code">'4'!$B$4:$B$12</definedName>
    <definedName name="Product_Name" localSheetId="3">'5'!$B$4:$B$96</definedName>
    <definedName name="Product_Name">'4'!$C$4:$C$12</definedName>
    <definedName name="Quantity">'5'!$D$4:$D$96</definedName>
    <definedName name="S.P_per_unit" localSheetId="3">'5'!$C$4:$C$96</definedName>
    <definedName name="S.P_per_unit">'4'!$D$4:$D$12</definedName>
    <definedName name="Salary">'5'!$G$4:$G$96</definedName>
    <definedName name="Salary_Received">'7'!$C$3:$C$95</definedName>
    <definedName name="Sales">'5'!$E$4:$E$96</definedName>
    <definedName name="Salesman_Name">'7'!$B$3:$B$95</definedName>
    <definedName name="Tax">'7'!$D$3:$D$95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21" l="1"/>
  <c r="M10" i="21"/>
  <c r="L10" i="21"/>
  <c r="L7" i="20"/>
  <c r="L8" i="20"/>
  <c r="L9" i="20"/>
  <c r="L10" i="20"/>
  <c r="L11" i="20"/>
  <c r="L12" i="20"/>
  <c r="L13" i="20"/>
  <c r="L14" i="20"/>
  <c r="L6" i="20"/>
  <c r="K7" i="20"/>
  <c r="K8" i="20"/>
  <c r="K9" i="20"/>
  <c r="K10" i="20"/>
  <c r="K11" i="20"/>
  <c r="K12" i="20"/>
  <c r="K13" i="20"/>
  <c r="K14" i="20"/>
  <c r="K6" i="20"/>
  <c r="K26" i="10"/>
  <c r="K25" i="10"/>
  <c r="K24" i="10"/>
  <c r="K23" i="10"/>
  <c r="K20" i="10"/>
  <c r="K19" i="10"/>
  <c r="K18" i="10"/>
  <c r="K17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3" i="10"/>
  <c r="D8" i="19"/>
  <c r="D9" i="19"/>
  <c r="D10" i="19"/>
  <c r="D11" i="19"/>
  <c r="D12" i="19"/>
  <c r="D13" i="19"/>
  <c r="D14" i="19"/>
  <c r="D15" i="19"/>
  <c r="D16" i="19"/>
  <c r="D7" i="1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3" i="9"/>
  <c r="D15" i="8"/>
  <c r="D16" i="8"/>
  <c r="D17" i="8"/>
  <c r="D18" i="8"/>
  <c r="D19" i="8"/>
  <c r="D20" i="8"/>
  <c r="D21" i="8"/>
  <c r="D14" i="8"/>
  <c r="C5" i="8"/>
  <c r="C6" i="8"/>
  <c r="C7" i="8"/>
  <c r="C8" i="8"/>
  <c r="C9" i="8"/>
  <c r="C10" i="8"/>
  <c r="C11" i="8"/>
  <c r="C4" i="8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4" i="7"/>
  <c r="F5" i="6"/>
  <c r="F6" i="6"/>
  <c r="F7" i="6"/>
  <c r="F8" i="6"/>
  <c r="F9" i="6"/>
  <c r="F10" i="6"/>
  <c r="F11" i="6"/>
  <c r="F12" i="6"/>
  <c r="F4" i="6"/>
  <c r="E5" i="6"/>
  <c r="E6" i="6"/>
  <c r="E7" i="6"/>
  <c r="E8" i="6"/>
  <c r="E9" i="6"/>
  <c r="E10" i="6"/>
  <c r="E11" i="6"/>
  <c r="E12" i="6"/>
  <c r="E4" i="6"/>
  <c r="C8" i="2"/>
  <c r="C9" i="2"/>
  <c r="C10" i="2"/>
  <c r="C11" i="2"/>
  <c r="C12" i="2"/>
  <c r="C13" i="2"/>
  <c r="C14" i="2"/>
  <c r="C7" i="2"/>
  <c r="H18" i="3"/>
  <c r="H19" i="3"/>
  <c r="H20" i="3"/>
  <c r="H21" i="3"/>
  <c r="H22" i="3"/>
  <c r="H23" i="3"/>
  <c r="H24" i="3"/>
  <c r="H25" i="3"/>
  <c r="H17" i="3"/>
  <c r="G18" i="3"/>
  <c r="G19" i="3"/>
  <c r="G20" i="3"/>
  <c r="G21" i="3"/>
  <c r="G22" i="3"/>
  <c r="G23" i="3"/>
  <c r="G24" i="3"/>
  <c r="G25" i="3"/>
  <c r="G17" i="3"/>
  <c r="F14" i="3"/>
  <c r="F6" i="3"/>
  <c r="F7" i="3"/>
  <c r="F8" i="3"/>
  <c r="F9" i="3"/>
  <c r="F10" i="3"/>
  <c r="F11" i="3"/>
  <c r="F12" i="3"/>
  <c r="F13" i="3"/>
  <c r="F5" i="3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K11" i="9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4" i="7"/>
  <c r="K21" i="7" l="1"/>
  <c r="K22" i="7"/>
  <c r="K20" i="7"/>
</calcChain>
</file>

<file path=xl/sharedStrings.xml><?xml version="1.0" encoding="utf-8"?>
<sst xmlns="http://schemas.openxmlformats.org/spreadsheetml/2006/main" count="949" uniqueCount="254">
  <si>
    <t>Number of cartons ordered</t>
  </si>
  <si>
    <t xml:space="preserve"> Cost per carton for first 100 carton </t>
  </si>
  <si>
    <t xml:space="preserve"> Cost per carton for above 100 cartons</t>
  </si>
  <si>
    <t>Product Code</t>
  </si>
  <si>
    <t>Product Name</t>
  </si>
  <si>
    <t>Sales (Units)</t>
  </si>
  <si>
    <t>S.P per unit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</si>
  <si>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</si>
  <si>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</si>
  <si>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</si>
  <si>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</si>
  <si>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</si>
  <si>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</si>
  <si>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</si>
  <si>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</si>
  <si>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</si>
  <si>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Total Sales</t>
  </si>
  <si>
    <t>Employee Code</t>
  </si>
  <si>
    <t>Employee Name</t>
  </si>
  <si>
    <t>Salary</t>
  </si>
  <si>
    <t>Bonus (as a % of Salary)</t>
  </si>
  <si>
    <t>Department</t>
  </si>
  <si>
    <t>X101</t>
  </si>
  <si>
    <t>Rohit</t>
  </si>
  <si>
    <t>Finance</t>
  </si>
  <si>
    <t>X102</t>
  </si>
  <si>
    <t>Raj</t>
  </si>
  <si>
    <t>X103</t>
  </si>
  <si>
    <t>Dilip</t>
  </si>
  <si>
    <t>HR</t>
  </si>
  <si>
    <t>X104</t>
  </si>
  <si>
    <t>Suman</t>
  </si>
  <si>
    <t>Secretarial</t>
  </si>
  <si>
    <t>X105</t>
  </si>
  <si>
    <t>Kamal</t>
  </si>
  <si>
    <t>X106</t>
  </si>
  <si>
    <t>Jawed</t>
  </si>
  <si>
    <t>Accounts</t>
  </si>
  <si>
    <t>X107</t>
  </si>
  <si>
    <t>Salim</t>
  </si>
  <si>
    <t>X108</t>
  </si>
  <si>
    <t>Sohail</t>
  </si>
  <si>
    <t>Sales</t>
  </si>
  <si>
    <t>X109</t>
  </si>
  <si>
    <t>Akshay</t>
  </si>
  <si>
    <t>Shampoo</t>
  </si>
  <si>
    <t>Soap</t>
  </si>
  <si>
    <t>Paste</t>
  </si>
  <si>
    <t>Chocolate</t>
  </si>
  <si>
    <t>Chips</t>
  </si>
  <si>
    <t>Dettol</t>
  </si>
  <si>
    <t>Brush</t>
  </si>
  <si>
    <t>Coke</t>
  </si>
  <si>
    <t>Pepsi</t>
  </si>
  <si>
    <t xml:space="preserve">Quantity </t>
  </si>
  <si>
    <t xml:space="preserve">Sales </t>
  </si>
  <si>
    <t>Salesman</t>
  </si>
  <si>
    <t>AI</t>
  </si>
  <si>
    <t>AJ</t>
  </si>
  <si>
    <t>AK</t>
  </si>
  <si>
    <t>AL</t>
  </si>
  <si>
    <t>AF</t>
  </si>
  <si>
    <t>AA</t>
  </si>
  <si>
    <t>AB</t>
  </si>
  <si>
    <t>AC</t>
  </si>
  <si>
    <t>AD</t>
  </si>
  <si>
    <t>AE</t>
  </si>
  <si>
    <t>AG</t>
  </si>
  <si>
    <t>AH</t>
  </si>
  <si>
    <t>AN</t>
  </si>
  <si>
    <t>AO</t>
  </si>
  <si>
    <t>AP</t>
  </si>
  <si>
    <t>AQ</t>
  </si>
  <si>
    <t>AR</t>
  </si>
  <si>
    <t>AS</t>
  </si>
  <si>
    <t>AZ</t>
  </si>
  <si>
    <t>AM</t>
  </si>
  <si>
    <t>AT</t>
  </si>
  <si>
    <t>AU</t>
  </si>
  <si>
    <t>AV</t>
  </si>
  <si>
    <t>AW</t>
  </si>
  <si>
    <t>AX</t>
  </si>
  <si>
    <t>AY</t>
  </si>
  <si>
    <t>Marks</t>
  </si>
  <si>
    <t>Grade</t>
  </si>
  <si>
    <t>0 to 20</t>
  </si>
  <si>
    <t>21 to 30</t>
  </si>
  <si>
    <t>Plays Sports</t>
  </si>
  <si>
    <t>Y</t>
  </si>
  <si>
    <t>N</t>
  </si>
  <si>
    <t>Tax</t>
  </si>
  <si>
    <t xml:space="preserve">Salary </t>
  </si>
  <si>
    <t>Less than or equal to 30000</t>
  </si>
  <si>
    <t>More than 30000</t>
  </si>
  <si>
    <t>41000 to 50000</t>
  </si>
  <si>
    <t>How many people are in grade</t>
  </si>
  <si>
    <t>What is the total salary of people in grade</t>
  </si>
  <si>
    <t>For products having price &lt;=20, mark them as Low priced</t>
  </si>
  <si>
    <t>For products having price between 21 to 50, mark them as Medium priced</t>
  </si>
  <si>
    <t>For products having price&gt;50, mark them as High priced</t>
  </si>
  <si>
    <t>Now change the labels to Affordable, Fast Moving and Expensive for Low, Medium and High respectively</t>
  </si>
  <si>
    <t>Bonus Calculation</t>
  </si>
  <si>
    <t>Name</t>
  </si>
  <si>
    <t>Sumit</t>
  </si>
  <si>
    <t>Sunny</t>
  </si>
  <si>
    <t>Lakshay</t>
  </si>
  <si>
    <t>Taran</t>
  </si>
  <si>
    <t>Suresh</t>
  </si>
  <si>
    <t>Mukesh</t>
  </si>
  <si>
    <t>Ramesh</t>
  </si>
  <si>
    <t>Amandeep</t>
  </si>
  <si>
    <t>Sushant</t>
  </si>
  <si>
    <t>Abhinav Jain</t>
  </si>
  <si>
    <t>Birender</t>
  </si>
  <si>
    <t>Suneet</t>
  </si>
  <si>
    <t>Parth</t>
  </si>
  <si>
    <t>Ravi</t>
  </si>
  <si>
    <t>Malhan</t>
  </si>
  <si>
    <t>Rajat</t>
  </si>
  <si>
    <t>Salesperson</t>
  </si>
  <si>
    <t>Ruhaan</t>
  </si>
  <si>
    <t>Kunal</t>
  </si>
  <si>
    <t xml:space="preserve">The names of the sales staff are listed in column B. Enter each person’s total monthly sales in column C. Calculate bonus in Column D as 10 percent of sales. In column D display the commission amount or the words ‘No Bonus.’ </t>
  </si>
  <si>
    <t xml:space="preserve">Simco Industries pays its sales staff a 10-percent commission for all sales greater than Rs.20,000. Sales below this amount do not receive a bonus. 
</t>
  </si>
  <si>
    <t xml:space="preserve">Find out how much money was paid out in bonuses </t>
  </si>
  <si>
    <t>Scores</t>
  </si>
  <si>
    <t>Less than 50</t>
  </si>
  <si>
    <t>50 to 59</t>
  </si>
  <si>
    <t>60 TO 69</t>
  </si>
  <si>
    <t>70 TO 79</t>
  </si>
  <si>
    <t>80 TO 89</t>
  </si>
  <si>
    <t>90 and above A+</t>
  </si>
  <si>
    <t>Grades</t>
  </si>
  <si>
    <t>Sameer</t>
  </si>
  <si>
    <t>Parekh</t>
  </si>
  <si>
    <t>Parag</t>
  </si>
  <si>
    <t>Sonu</t>
  </si>
  <si>
    <t>Kavish</t>
  </si>
  <si>
    <t>Rahul</t>
  </si>
  <si>
    <t>Gautam</t>
  </si>
  <si>
    <t>Sales amount</t>
  </si>
  <si>
    <t>5000 or less</t>
  </si>
  <si>
    <t>5001-8000</t>
  </si>
  <si>
    <t>8001-10000</t>
  </si>
  <si>
    <t>10001-15000</t>
  </si>
  <si>
    <t>Above 15000</t>
  </si>
  <si>
    <t>Commission %</t>
  </si>
  <si>
    <t>COmmission is determined as under</t>
  </si>
  <si>
    <t>Commissions (%)</t>
  </si>
  <si>
    <t>Commission (in Rs.)</t>
  </si>
  <si>
    <t>Car Parking Charges</t>
  </si>
  <si>
    <t>Car Reg</t>
  </si>
  <si>
    <t>No Hours Parked</t>
  </si>
  <si>
    <t>Parking Charge</t>
  </si>
  <si>
    <t>DA12 NEJ</t>
  </si>
  <si>
    <t>MA16 BVW</t>
  </si>
  <si>
    <t>Anything less "Free Parking"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</si>
  <si>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</si>
  <si>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</si>
  <si>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</si>
  <si>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</si>
  <si>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</si>
  <si>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</si>
  <si>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</si>
  <si>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</si>
  <si>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Benchmark</t>
  </si>
  <si>
    <t>Tax Rates</t>
  </si>
  <si>
    <t>Count the number of people with Bonus</t>
  </si>
  <si>
    <t>Student who either Plays sports or has marks &gt; 10 is A, else he is B</t>
  </si>
  <si>
    <t>31000 to 41000</t>
  </si>
  <si>
    <t>*(Upper limit not included in the band)</t>
  </si>
  <si>
    <t>Less than 31000</t>
  </si>
  <si>
    <t>50000 or more</t>
  </si>
  <si>
    <t>How many employees are there is each department</t>
  </si>
  <si>
    <t>ID</t>
  </si>
  <si>
    <t>Age</t>
  </si>
  <si>
    <t>Qty Sold</t>
  </si>
  <si>
    <t>Price</t>
  </si>
  <si>
    <t>What is total salary of employees in each department</t>
  </si>
  <si>
    <t>J</t>
  </si>
  <si>
    <t>K</t>
  </si>
  <si>
    <t>L</t>
  </si>
  <si>
    <t>M</t>
  </si>
  <si>
    <t>O</t>
  </si>
  <si>
    <t>P</t>
  </si>
  <si>
    <t>Q</t>
  </si>
  <si>
    <t>Admin</t>
  </si>
  <si>
    <t>R</t>
  </si>
  <si>
    <t>S</t>
  </si>
  <si>
    <t>T</t>
  </si>
  <si>
    <t>U</t>
  </si>
  <si>
    <t>V</t>
  </si>
  <si>
    <t>Personnel</t>
  </si>
  <si>
    <t>W</t>
  </si>
  <si>
    <t>X</t>
  </si>
  <si>
    <t>Z</t>
  </si>
  <si>
    <t>Marketing</t>
  </si>
  <si>
    <t>I.T.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</si>
  <si>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</si>
  <si>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</si>
  <si>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</si>
  <si>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</si>
  <si>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</si>
  <si>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</si>
  <si>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</si>
  <si>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</si>
  <si>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</si>
  <si>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</si>
  <si>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</si>
  <si>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</si>
  <si>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</si>
  <si>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</si>
  <si>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</si>
  <si>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</si>
  <si>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</si>
  <si>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</si>
  <si>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</si>
  <si>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</si>
  <si>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</si>
  <si>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</si>
  <si>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</si>
  <si>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</si>
  <si>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</si>
  <si>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</si>
  <si>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Count the number of employees using the Name column</t>
  </si>
  <si>
    <t>Count the number of employees using the ID column</t>
  </si>
  <si>
    <t>Identify how may entries are missing in the ID column</t>
  </si>
  <si>
    <t>Bonus %</t>
  </si>
  <si>
    <t>Bonus Amt.</t>
  </si>
  <si>
    <t>For people with salary less than 30000, 12%</t>
  </si>
  <si>
    <t>For people with salary between 30000 to 40000 (40,000 not included), 17%</t>
  </si>
  <si>
    <t>For people with salary 40000 and more, 22%</t>
  </si>
  <si>
    <t xml:space="preserve">If park &gt;8 hours pay Rs.1 pr hr </t>
  </si>
  <si>
    <t xml:space="preserve">If park &gt;5 hours pay Rs 1.50 pr hr </t>
  </si>
  <si>
    <t>200 per box</t>
  </si>
  <si>
    <t>180 per box</t>
  </si>
  <si>
    <t>Total Cost</t>
  </si>
  <si>
    <t>Tax Amount</t>
  </si>
  <si>
    <t>Total Salary</t>
  </si>
  <si>
    <t>For employees having bonus &gt; 2000, label them as category A. Rest all as category B</t>
  </si>
  <si>
    <t>Category</t>
  </si>
  <si>
    <t>Q1.</t>
  </si>
  <si>
    <t>Price Category</t>
  </si>
  <si>
    <t>Category Labels</t>
  </si>
  <si>
    <t>Criteria</t>
  </si>
  <si>
    <t>Marks_Obtained</t>
  </si>
  <si>
    <t>Grade_Rewarded</t>
  </si>
  <si>
    <t>Salary_Received</t>
  </si>
  <si>
    <t>Salesman_Name</t>
  </si>
  <si>
    <t>No of Employees</t>
  </si>
  <si>
    <t>Num_Employee [Name]</t>
  </si>
  <si>
    <t>Num_Employee [Id]</t>
  </si>
  <si>
    <t>Missing_ID's</t>
  </si>
  <si>
    <t>Total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</si>
</sst>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&quot;₹&quot;\ #,##0.00"/>
    <numFmt numFmtId="167" formatCode="_ [$₹-4009]\ * #,##0.00_ ;_ [$₹-4009]\ * \-#,##0.00_ ;_ [$₹-4009]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4" tint="-0.24997711111789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3">
    <xf numFmtId="0" fontId="0" fillId="0" borderId="0" xfId="0"/>
    <xf numFmtId="165" fontId="0" fillId="0" borderId="0" xfId="0" applyNumberFormat="1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6" applyFont="1" applyAlignment="1">
      <alignment horizontal="center"/>
    </xf>
    <xf numFmtId="0" fontId="7" fillId="2" borderId="1" xfId="6" applyFont="1" applyFill="1" applyBorder="1" applyAlignment="1">
      <alignment horizontal="center" vertical="center" wrapText="1"/>
    </xf>
    <xf numFmtId="0" fontId="7" fillId="2" borderId="2" xfId="6" applyFont="1" applyFill="1" applyBorder="1" applyAlignment="1">
      <alignment horizontal="center" vertical="center" wrapText="1"/>
    </xf>
    <xf numFmtId="0" fontId="7" fillId="2" borderId="20" xfId="6" applyFont="1" applyFill="1" applyBorder="1" applyAlignment="1">
      <alignment horizontal="center" vertical="center" wrapText="1"/>
    </xf>
    <xf numFmtId="0" fontId="7" fillId="6" borderId="10" xfId="6" applyFont="1" applyFill="1" applyBorder="1" applyAlignment="1">
      <alignment horizontal="center" vertical="center"/>
    </xf>
    <xf numFmtId="0" fontId="6" fillId="0" borderId="4" xfId="6" applyFont="1" applyBorder="1" applyAlignment="1">
      <alignment horizontal="center"/>
    </xf>
    <xf numFmtId="0" fontId="6" fillId="0" borderId="5" xfId="6" applyFont="1" applyBorder="1" applyAlignment="1">
      <alignment horizontal="center"/>
    </xf>
    <xf numFmtId="0" fontId="6" fillId="0" borderId="21" xfId="6" applyFont="1" applyBorder="1" applyAlignment="1">
      <alignment horizontal="center"/>
    </xf>
    <xf numFmtId="0" fontId="6" fillId="0" borderId="16" xfId="6" applyFont="1" applyBorder="1" applyAlignment="1">
      <alignment horizontal="center"/>
    </xf>
    <xf numFmtId="0" fontId="6" fillId="0" borderId="7" xfId="6" applyFont="1" applyBorder="1" applyAlignment="1">
      <alignment horizontal="center"/>
    </xf>
    <xf numFmtId="0" fontId="6" fillId="0" borderId="8" xfId="6" applyFont="1" applyBorder="1" applyAlignment="1">
      <alignment horizontal="center"/>
    </xf>
    <xf numFmtId="0" fontId="6" fillId="0" borderId="22" xfId="6" applyFont="1" applyBorder="1" applyAlignment="1">
      <alignment horizontal="center"/>
    </xf>
    <xf numFmtId="0" fontId="6" fillId="5" borderId="0" xfId="6" applyFont="1" applyFill="1" applyAlignment="1">
      <alignment horizontal="center"/>
    </xf>
    <xf numFmtId="0" fontId="6" fillId="5" borderId="23" xfId="6" applyFont="1" applyFill="1" applyBorder="1" applyAlignment="1">
      <alignment horizontal="center"/>
    </xf>
    <xf numFmtId="0" fontId="6" fillId="5" borderId="5" xfId="6" applyFont="1" applyFill="1" applyBorder="1" applyAlignment="1">
      <alignment horizontal="center"/>
    </xf>
    <xf numFmtId="0" fontId="7" fillId="2" borderId="21" xfId="6" applyFont="1" applyFill="1" applyBorder="1" applyAlignment="1">
      <alignment horizontal="center" vertical="center" wrapText="1"/>
    </xf>
    <xf numFmtId="0" fontId="7" fillId="6" borderId="5" xfId="6" applyFont="1" applyFill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9" fontId="6" fillId="0" borderId="5" xfId="6" applyNumberFormat="1" applyFont="1" applyBorder="1" applyAlignment="1">
      <alignment horizontal="center"/>
    </xf>
    <xf numFmtId="0" fontId="6" fillId="0" borderId="24" xfId="6" applyFont="1" applyBorder="1" applyAlignment="1">
      <alignment horizontal="center"/>
    </xf>
    <xf numFmtId="9" fontId="6" fillId="0" borderId="8" xfId="6" applyNumberFormat="1" applyFont="1" applyBorder="1" applyAlignment="1">
      <alignment horizontal="center"/>
    </xf>
    <xf numFmtId="0" fontId="6" fillId="0" borderId="0" xfId="6" applyFont="1"/>
    <xf numFmtId="0" fontId="7" fillId="7" borderId="5" xfId="6" applyFont="1" applyFill="1" applyBorder="1" applyAlignment="1">
      <alignment horizontal="center" vertical="center"/>
    </xf>
    <xf numFmtId="0" fontId="7" fillId="2" borderId="3" xfId="6" applyFont="1" applyFill="1" applyBorder="1" applyAlignment="1">
      <alignment horizontal="center" vertical="center" wrapText="1"/>
    </xf>
    <xf numFmtId="0" fontId="6" fillId="0" borderId="5" xfId="6" applyFont="1" applyBorder="1"/>
    <xf numFmtId="0" fontId="6" fillId="0" borderId="8" xfId="6" applyFont="1" applyBorder="1"/>
    <xf numFmtId="0" fontId="6" fillId="0" borderId="0" xfId="6" applyFont="1" applyAlignment="1">
      <alignment horizontal="center" vertical="center"/>
    </xf>
    <xf numFmtId="0" fontId="6" fillId="0" borderId="4" xfId="6" applyFont="1" applyBorder="1" applyAlignment="1">
      <alignment horizontal="center" vertical="center"/>
    </xf>
    <xf numFmtId="0" fontId="6" fillId="0" borderId="7" xfId="6" applyFont="1" applyBorder="1" applyAlignment="1">
      <alignment horizontal="center" vertical="center"/>
    </xf>
    <xf numFmtId="0" fontId="6" fillId="0" borderId="8" xfId="6" applyFont="1" applyBorder="1" applyAlignment="1">
      <alignment horizontal="center" vertical="center"/>
    </xf>
    <xf numFmtId="0" fontId="6" fillId="7" borderId="0" xfId="6" applyFont="1" applyFill="1" applyAlignment="1">
      <alignment horizontal="center" vertical="center"/>
    </xf>
    <xf numFmtId="0" fontId="6" fillId="3" borderId="0" xfId="6" applyFont="1" applyFill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2" fontId="6" fillId="0" borderId="5" xfId="6" applyNumberFormat="1" applyFont="1" applyBorder="1"/>
    <xf numFmtId="0" fontId="6" fillId="0" borderId="6" xfId="6" applyFont="1" applyBorder="1"/>
    <xf numFmtId="9" fontId="6" fillId="0" borderId="0" xfId="7" applyFont="1" applyAlignment="1">
      <alignment horizontal="center"/>
    </xf>
    <xf numFmtId="2" fontId="6" fillId="0" borderId="5" xfId="6" applyNumberFormat="1" applyFont="1" applyBorder="1" applyAlignment="1">
      <alignment horizontal="center"/>
    </xf>
    <xf numFmtId="0" fontId="6" fillId="0" borderId="9" xfId="6" applyFont="1" applyBorder="1"/>
    <xf numFmtId="9" fontId="6" fillId="3" borderId="0" xfId="7" applyFont="1" applyFill="1" applyAlignment="1">
      <alignment horizontal="center"/>
    </xf>
    <xf numFmtId="0" fontId="6" fillId="0" borderId="0" xfId="6" applyFont="1" applyAlignment="1">
      <alignment horizontal="left"/>
    </xf>
    <xf numFmtId="0" fontId="10" fillId="0" borderId="0" xfId="6" applyFont="1"/>
    <xf numFmtId="0" fontId="10" fillId="0" borderId="5" xfId="6" applyFont="1" applyBorder="1"/>
    <xf numFmtId="0" fontId="10" fillId="0" borderId="8" xfId="6" applyFont="1" applyBorder="1"/>
    <xf numFmtId="0" fontId="7" fillId="0" borderId="14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/>
    </xf>
    <xf numFmtId="9" fontId="10" fillId="0" borderId="0" xfId="6" applyNumberFormat="1" applyFont="1"/>
    <xf numFmtId="9" fontId="6" fillId="0" borderId="0" xfId="6" applyNumberFormat="1" applyFont="1"/>
    <xf numFmtId="0" fontId="7" fillId="4" borderId="0" xfId="6" applyFont="1" applyFill="1"/>
    <xf numFmtId="0" fontId="6" fillId="4" borderId="0" xfId="6" applyFont="1" applyFill="1"/>
    <xf numFmtId="9" fontId="6" fillId="4" borderId="5" xfId="6" applyNumberFormat="1" applyFont="1" applyFill="1" applyBorder="1"/>
    <xf numFmtId="0" fontId="6" fillId="4" borderId="21" xfId="6" applyFont="1" applyFill="1" applyBorder="1" applyAlignment="1">
      <alignment horizontal="center"/>
    </xf>
    <xf numFmtId="0" fontId="6" fillId="4" borderId="28" xfId="6" applyFont="1" applyFill="1" applyBorder="1" applyAlignment="1">
      <alignment horizontal="center"/>
    </xf>
    <xf numFmtId="0" fontId="6" fillId="4" borderId="25" xfId="6" applyFont="1" applyFill="1" applyBorder="1" applyAlignment="1">
      <alignment horizontal="center"/>
    </xf>
    <xf numFmtId="0" fontId="7" fillId="0" borderId="0" xfId="6" applyFont="1"/>
    <xf numFmtId="0" fontId="6" fillId="0" borderId="0" xfId="6" applyFont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6" fillId="4" borderId="5" xfId="6" applyFont="1" applyFill="1" applyBorder="1" applyAlignment="1">
      <alignment horizontal="center" vertical="center"/>
    </xf>
    <xf numFmtId="0" fontId="9" fillId="2" borderId="11" xfId="6" applyFont="1" applyFill="1" applyBorder="1" applyAlignment="1">
      <alignment horizontal="center" vertical="center" wrapText="1"/>
    </xf>
    <xf numFmtId="0" fontId="9" fillId="2" borderId="12" xfId="6" applyFont="1" applyFill="1" applyBorder="1" applyAlignment="1">
      <alignment horizontal="center" vertical="center" wrapText="1"/>
    </xf>
    <xf numFmtId="0" fontId="9" fillId="2" borderId="13" xfId="6" applyFont="1" applyFill="1" applyBorder="1" applyAlignment="1">
      <alignment horizontal="center" vertical="center" wrapText="1"/>
    </xf>
    <xf numFmtId="0" fontId="11" fillId="2" borderId="11" xfId="6" applyFont="1" applyFill="1" applyBorder="1" applyAlignment="1">
      <alignment horizontal="center" vertical="center" wrapText="1"/>
    </xf>
    <xf numFmtId="0" fontId="11" fillId="2" borderId="12" xfId="6" applyFont="1" applyFill="1" applyBorder="1" applyAlignment="1">
      <alignment horizontal="center" vertical="center" wrapText="1"/>
    </xf>
    <xf numFmtId="0" fontId="11" fillId="2" borderId="13" xfId="6" applyFont="1" applyFill="1" applyBorder="1" applyAlignment="1">
      <alignment horizontal="center" vertical="center" wrapText="1"/>
    </xf>
    <xf numFmtId="0" fontId="10" fillId="0" borderId="15" xfId="6" applyFont="1" applyBorder="1" applyAlignment="1">
      <alignment horizontal="center"/>
    </xf>
    <xf numFmtId="0" fontId="10" fillId="0" borderId="16" xfId="6" applyFont="1" applyBorder="1"/>
    <xf numFmtId="0" fontId="10" fillId="0" borderId="4" xfId="6" applyFont="1" applyBorder="1" applyAlignment="1">
      <alignment horizontal="center"/>
    </xf>
    <xf numFmtId="2" fontId="10" fillId="0" borderId="4" xfId="6" applyNumberFormat="1" applyFont="1" applyBorder="1" applyAlignment="1">
      <alignment horizontal="center"/>
    </xf>
    <xf numFmtId="0" fontId="10" fillId="0" borderId="7" xfId="6" applyFont="1" applyBorder="1" applyAlignment="1">
      <alignment horizontal="center"/>
    </xf>
    <xf numFmtId="0" fontId="8" fillId="0" borderId="0" xfId="6" applyFont="1" applyAlignment="1">
      <alignment horizontal="center" vertical="center"/>
    </xf>
    <xf numFmtId="0" fontId="8" fillId="0" borderId="15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8" fillId="0" borderId="4" xfId="6" applyFont="1" applyBorder="1" applyAlignment="1">
      <alignment horizontal="center" vertical="center"/>
    </xf>
    <xf numFmtId="9" fontId="8" fillId="0" borderId="0" xfId="6" applyNumberFormat="1" applyFont="1" applyAlignment="1">
      <alignment horizontal="center" vertical="center"/>
    </xf>
    <xf numFmtId="2" fontId="8" fillId="0" borderId="4" xfId="6" applyNumberFormat="1" applyFont="1" applyBorder="1" applyAlignment="1">
      <alignment horizontal="center" vertical="center"/>
    </xf>
    <xf numFmtId="0" fontId="8" fillId="0" borderId="7" xfId="6" applyFont="1" applyBorder="1" applyAlignment="1">
      <alignment horizontal="center" vertical="center"/>
    </xf>
    <xf numFmtId="0" fontId="8" fillId="8" borderId="5" xfId="6" applyFont="1" applyFill="1" applyBorder="1" applyAlignment="1">
      <alignment horizontal="center" vertical="center"/>
    </xf>
    <xf numFmtId="9" fontId="8" fillId="5" borderId="5" xfId="6" applyNumberFormat="1" applyFont="1" applyFill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43" fontId="8" fillId="0" borderId="17" xfId="8" applyFont="1" applyBorder="1" applyAlignment="1">
      <alignment horizontal="center" vertical="center"/>
    </xf>
    <xf numFmtId="43" fontId="8" fillId="0" borderId="17" xfId="8" applyFont="1" applyBorder="1" applyAlignment="1">
      <alignment vertical="center"/>
    </xf>
    <xf numFmtId="9" fontId="8" fillId="0" borderId="0" xfId="7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3" borderId="5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5" xfId="0" applyFont="1" applyBorder="1" applyAlignment="1">
      <alignment horizontal="left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7" fontId="15" fillId="0" borderId="5" xfId="0" applyNumberFormat="1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1" fillId="2" borderId="19" xfId="6" applyFont="1" applyFill="1" applyBorder="1" applyAlignment="1">
      <alignment horizontal="center" vertical="center" wrapText="1"/>
    </xf>
    <xf numFmtId="1" fontId="10" fillId="0" borderId="16" xfId="7" applyNumberFormat="1" applyFont="1" applyBorder="1" applyAlignment="1">
      <alignment horizontal="center"/>
    </xf>
    <xf numFmtId="0" fontId="11" fillId="0" borderId="0" xfId="6" applyFont="1" applyFill="1" applyAlignment="1">
      <alignment horizontal="center" vertical="center" wrapText="1"/>
    </xf>
    <xf numFmtId="9" fontId="10" fillId="0" borderId="5" xfId="6" applyNumberFormat="1" applyFont="1" applyBorder="1"/>
    <xf numFmtId="0" fontId="10" fillId="0" borderId="21" xfId="6" applyFont="1" applyBorder="1"/>
    <xf numFmtId="9" fontId="10" fillId="0" borderId="5" xfId="6" applyNumberFormat="1" applyFont="1" applyBorder="1" applyAlignment="1">
      <alignment horizontal="center"/>
    </xf>
    <xf numFmtId="0" fontId="10" fillId="0" borderId="5" xfId="6" applyFon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2" fontId="15" fillId="0" borderId="15" xfId="0" applyNumberFormat="1" applyFont="1" applyBorder="1" applyAlignment="1">
      <alignment horizontal="center"/>
    </xf>
    <xf numFmtId="0" fontId="15" fillId="0" borderId="16" xfId="0" applyFont="1" applyBorder="1"/>
    <xf numFmtId="0" fontId="15" fillId="0" borderId="17" xfId="0" applyFont="1" applyBorder="1"/>
    <xf numFmtId="2" fontId="15" fillId="0" borderId="4" xfId="0" applyNumberFormat="1" applyFont="1" applyBorder="1" applyAlignment="1">
      <alignment horizontal="center"/>
    </xf>
    <xf numFmtId="0" fontId="15" fillId="0" borderId="6" xfId="0" applyFont="1" applyBorder="1"/>
    <xf numFmtId="0" fontId="15" fillId="0" borderId="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/>
    <xf numFmtId="0" fontId="15" fillId="0" borderId="9" xfId="0" applyFont="1" applyBorder="1"/>
    <xf numFmtId="0" fontId="16" fillId="0" borderId="5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left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0" xfId="0" applyFont="1" applyAlignment="1"/>
    <xf numFmtId="0" fontId="13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9" fontId="18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/>
    </xf>
  </cellXfs>
  <cellStyles count="9">
    <cellStyle name="Comma" xfId="8" builtinId="3"/>
    <cellStyle name="Currency 2" xfId="4" xr:uid="{0CFA96F0-9444-4AA6-ABB4-A5335A332937}"/>
    <cellStyle name="Currency 3" xfId="2" xr:uid="{FEF943F8-91FE-4343-8509-FD86882CD936}"/>
    <cellStyle name="Normal" xfId="0" builtinId="0"/>
    <cellStyle name="Normal 2" xfId="3" xr:uid="{15597A1E-B7F7-4F54-9BB6-1DC3A485D12C}"/>
    <cellStyle name="Normal 3" xfId="5" xr:uid="{64B07179-B34D-4A48-AD6A-2CDBE846DC12}"/>
    <cellStyle name="Normal 4" xfId="1" xr:uid="{3967D526-C528-48FD-8569-D91D4CBAED36}"/>
    <cellStyle name="Normal 5" xfId="6" xr:uid="{E41573D7-C2C8-422D-9223-72FAF1226AC5}"/>
    <cellStyle name="Percent" xfId="7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29A0-540F-4DD1-BF2E-DF36AF38560D}">
  <dimension ref="B3:I28"/>
  <sheetViews>
    <sheetView zoomScaleNormal="100" workbookViewId="0">
      <selection activeCell="K11" sqref="K11"/>
    </sheetView>
  </sheetViews>
  <sheetFormatPr defaultColWidth="8.77734375" defaultRowHeight="15.6" x14ac:dyDescent="0.3"/>
  <cols>
    <col min="1" max="1" width="3.77734375" style="9" customWidth="1"/>
    <col min="2" max="2" width="19.6640625" style="9" customWidth="1"/>
    <col min="3" max="3" width="17.33203125" style="9" customWidth="1"/>
    <col min="4" max="4" width="15.33203125" style="9" customWidth="1"/>
    <col min="5" max="5" width="26.6640625" style="9" customWidth="1"/>
    <col min="6" max="6" width="15.5546875" style="9" customWidth="1"/>
    <col min="7" max="7" width="12.88671875" style="9" customWidth="1"/>
    <col min="8" max="8" width="23.21875" style="9" customWidth="1"/>
    <col min="9" max="256" width="9.109375" style="9"/>
    <col min="257" max="257" width="3.77734375" style="9" customWidth="1"/>
    <col min="258" max="258" width="16.33203125" style="9" customWidth="1"/>
    <col min="259" max="259" width="12.109375" style="9" customWidth="1"/>
    <col min="260" max="260" width="12.77734375" style="9" customWidth="1"/>
    <col min="261" max="261" width="15.44140625" style="9" customWidth="1"/>
    <col min="262" max="262" width="12.77734375" style="9" customWidth="1"/>
    <col min="263" max="512" width="9.109375" style="9"/>
    <col min="513" max="513" width="3.77734375" style="9" customWidth="1"/>
    <col min="514" max="514" width="16.33203125" style="9" customWidth="1"/>
    <col min="515" max="515" width="12.109375" style="9" customWidth="1"/>
    <col min="516" max="516" width="12.77734375" style="9" customWidth="1"/>
    <col min="517" max="517" width="15.44140625" style="9" customWidth="1"/>
    <col min="518" max="518" width="12.77734375" style="9" customWidth="1"/>
    <col min="519" max="768" width="9.109375" style="9"/>
    <col min="769" max="769" width="3.77734375" style="9" customWidth="1"/>
    <col min="770" max="770" width="16.33203125" style="9" customWidth="1"/>
    <col min="771" max="771" width="12.109375" style="9" customWidth="1"/>
    <col min="772" max="772" width="12.77734375" style="9" customWidth="1"/>
    <col min="773" max="773" width="15.44140625" style="9" customWidth="1"/>
    <col min="774" max="774" width="12.77734375" style="9" customWidth="1"/>
    <col min="775" max="1024" width="9.109375" style="9"/>
    <col min="1025" max="1025" width="3.77734375" style="9" customWidth="1"/>
    <col min="1026" max="1026" width="16.33203125" style="9" customWidth="1"/>
    <col min="1027" max="1027" width="12.109375" style="9" customWidth="1"/>
    <col min="1028" max="1028" width="12.77734375" style="9" customWidth="1"/>
    <col min="1029" max="1029" width="15.44140625" style="9" customWidth="1"/>
    <col min="1030" max="1030" width="12.77734375" style="9" customWidth="1"/>
    <col min="1031" max="1280" width="9.109375" style="9"/>
    <col min="1281" max="1281" width="3.77734375" style="9" customWidth="1"/>
    <col min="1282" max="1282" width="16.33203125" style="9" customWidth="1"/>
    <col min="1283" max="1283" width="12.109375" style="9" customWidth="1"/>
    <col min="1284" max="1284" width="12.77734375" style="9" customWidth="1"/>
    <col min="1285" max="1285" width="15.44140625" style="9" customWidth="1"/>
    <col min="1286" max="1286" width="12.77734375" style="9" customWidth="1"/>
    <col min="1287" max="1536" width="9.109375" style="9"/>
    <col min="1537" max="1537" width="3.77734375" style="9" customWidth="1"/>
    <col min="1538" max="1538" width="16.33203125" style="9" customWidth="1"/>
    <col min="1539" max="1539" width="12.109375" style="9" customWidth="1"/>
    <col min="1540" max="1540" width="12.77734375" style="9" customWidth="1"/>
    <col min="1541" max="1541" width="15.44140625" style="9" customWidth="1"/>
    <col min="1542" max="1542" width="12.77734375" style="9" customWidth="1"/>
    <col min="1543" max="1792" width="9.109375" style="9"/>
    <col min="1793" max="1793" width="3.77734375" style="9" customWidth="1"/>
    <col min="1794" max="1794" width="16.33203125" style="9" customWidth="1"/>
    <col min="1795" max="1795" width="12.109375" style="9" customWidth="1"/>
    <col min="1796" max="1796" width="12.77734375" style="9" customWidth="1"/>
    <col min="1797" max="1797" width="15.44140625" style="9" customWidth="1"/>
    <col min="1798" max="1798" width="12.77734375" style="9" customWidth="1"/>
    <col min="1799" max="2048" width="9.109375" style="9"/>
    <col min="2049" max="2049" width="3.77734375" style="9" customWidth="1"/>
    <col min="2050" max="2050" width="16.33203125" style="9" customWidth="1"/>
    <col min="2051" max="2051" width="12.109375" style="9" customWidth="1"/>
    <col min="2052" max="2052" width="12.77734375" style="9" customWidth="1"/>
    <col min="2053" max="2053" width="15.44140625" style="9" customWidth="1"/>
    <col min="2054" max="2054" width="12.77734375" style="9" customWidth="1"/>
    <col min="2055" max="2304" width="9.109375" style="9"/>
    <col min="2305" max="2305" width="3.77734375" style="9" customWidth="1"/>
    <col min="2306" max="2306" width="16.33203125" style="9" customWidth="1"/>
    <col min="2307" max="2307" width="12.109375" style="9" customWidth="1"/>
    <col min="2308" max="2308" width="12.77734375" style="9" customWidth="1"/>
    <col min="2309" max="2309" width="15.44140625" style="9" customWidth="1"/>
    <col min="2310" max="2310" width="12.77734375" style="9" customWidth="1"/>
    <col min="2311" max="2560" width="9.109375" style="9"/>
    <col min="2561" max="2561" width="3.77734375" style="9" customWidth="1"/>
    <col min="2562" max="2562" width="16.33203125" style="9" customWidth="1"/>
    <col min="2563" max="2563" width="12.109375" style="9" customWidth="1"/>
    <col min="2564" max="2564" width="12.77734375" style="9" customWidth="1"/>
    <col min="2565" max="2565" width="15.44140625" style="9" customWidth="1"/>
    <col min="2566" max="2566" width="12.77734375" style="9" customWidth="1"/>
    <col min="2567" max="2816" width="9.109375" style="9"/>
    <col min="2817" max="2817" width="3.77734375" style="9" customWidth="1"/>
    <col min="2818" max="2818" width="16.33203125" style="9" customWidth="1"/>
    <col min="2819" max="2819" width="12.109375" style="9" customWidth="1"/>
    <col min="2820" max="2820" width="12.77734375" style="9" customWidth="1"/>
    <col min="2821" max="2821" width="15.44140625" style="9" customWidth="1"/>
    <col min="2822" max="2822" width="12.77734375" style="9" customWidth="1"/>
    <col min="2823" max="3072" width="9.109375" style="9"/>
    <col min="3073" max="3073" width="3.77734375" style="9" customWidth="1"/>
    <col min="3074" max="3074" width="16.33203125" style="9" customWidth="1"/>
    <col min="3075" max="3075" width="12.109375" style="9" customWidth="1"/>
    <col min="3076" max="3076" width="12.77734375" style="9" customWidth="1"/>
    <col min="3077" max="3077" width="15.44140625" style="9" customWidth="1"/>
    <col min="3078" max="3078" width="12.77734375" style="9" customWidth="1"/>
    <col min="3079" max="3328" width="9.109375" style="9"/>
    <col min="3329" max="3329" width="3.77734375" style="9" customWidth="1"/>
    <col min="3330" max="3330" width="16.33203125" style="9" customWidth="1"/>
    <col min="3331" max="3331" width="12.109375" style="9" customWidth="1"/>
    <col min="3332" max="3332" width="12.77734375" style="9" customWidth="1"/>
    <col min="3333" max="3333" width="15.44140625" style="9" customWidth="1"/>
    <col min="3334" max="3334" width="12.77734375" style="9" customWidth="1"/>
    <col min="3335" max="3584" width="9.109375" style="9"/>
    <col min="3585" max="3585" width="3.77734375" style="9" customWidth="1"/>
    <col min="3586" max="3586" width="16.33203125" style="9" customWidth="1"/>
    <col min="3587" max="3587" width="12.109375" style="9" customWidth="1"/>
    <col min="3588" max="3588" width="12.77734375" style="9" customWidth="1"/>
    <col min="3589" max="3589" width="15.44140625" style="9" customWidth="1"/>
    <col min="3590" max="3590" width="12.77734375" style="9" customWidth="1"/>
    <col min="3591" max="3840" width="9.109375" style="9"/>
    <col min="3841" max="3841" width="3.77734375" style="9" customWidth="1"/>
    <col min="3842" max="3842" width="16.33203125" style="9" customWidth="1"/>
    <col min="3843" max="3843" width="12.109375" style="9" customWidth="1"/>
    <col min="3844" max="3844" width="12.77734375" style="9" customWidth="1"/>
    <col min="3845" max="3845" width="15.44140625" style="9" customWidth="1"/>
    <col min="3846" max="3846" width="12.77734375" style="9" customWidth="1"/>
    <col min="3847" max="4096" width="9.109375" style="9"/>
    <col min="4097" max="4097" width="3.77734375" style="9" customWidth="1"/>
    <col min="4098" max="4098" width="16.33203125" style="9" customWidth="1"/>
    <col min="4099" max="4099" width="12.109375" style="9" customWidth="1"/>
    <col min="4100" max="4100" width="12.77734375" style="9" customWidth="1"/>
    <col min="4101" max="4101" width="15.44140625" style="9" customWidth="1"/>
    <col min="4102" max="4102" width="12.77734375" style="9" customWidth="1"/>
    <col min="4103" max="4352" width="9.109375" style="9"/>
    <col min="4353" max="4353" width="3.77734375" style="9" customWidth="1"/>
    <col min="4354" max="4354" width="16.33203125" style="9" customWidth="1"/>
    <col min="4355" max="4355" width="12.109375" style="9" customWidth="1"/>
    <col min="4356" max="4356" width="12.77734375" style="9" customWidth="1"/>
    <col min="4357" max="4357" width="15.44140625" style="9" customWidth="1"/>
    <col min="4358" max="4358" width="12.77734375" style="9" customWidth="1"/>
    <col min="4359" max="4608" width="9.109375" style="9"/>
    <col min="4609" max="4609" width="3.77734375" style="9" customWidth="1"/>
    <col min="4610" max="4610" width="16.33203125" style="9" customWidth="1"/>
    <col min="4611" max="4611" width="12.109375" style="9" customWidth="1"/>
    <col min="4612" max="4612" width="12.77734375" style="9" customWidth="1"/>
    <col min="4613" max="4613" width="15.44140625" style="9" customWidth="1"/>
    <col min="4614" max="4614" width="12.77734375" style="9" customWidth="1"/>
    <col min="4615" max="4864" width="9.109375" style="9"/>
    <col min="4865" max="4865" width="3.77734375" style="9" customWidth="1"/>
    <col min="4866" max="4866" width="16.33203125" style="9" customWidth="1"/>
    <col min="4867" max="4867" width="12.109375" style="9" customWidth="1"/>
    <col min="4868" max="4868" width="12.77734375" style="9" customWidth="1"/>
    <col min="4869" max="4869" width="15.44140625" style="9" customWidth="1"/>
    <col min="4870" max="4870" width="12.77734375" style="9" customWidth="1"/>
    <col min="4871" max="5120" width="9.109375" style="9"/>
    <col min="5121" max="5121" width="3.77734375" style="9" customWidth="1"/>
    <col min="5122" max="5122" width="16.33203125" style="9" customWidth="1"/>
    <col min="5123" max="5123" width="12.109375" style="9" customWidth="1"/>
    <col min="5124" max="5124" width="12.77734375" style="9" customWidth="1"/>
    <col min="5125" max="5125" width="15.44140625" style="9" customWidth="1"/>
    <col min="5126" max="5126" width="12.77734375" style="9" customWidth="1"/>
    <col min="5127" max="5376" width="9.109375" style="9"/>
    <col min="5377" max="5377" width="3.77734375" style="9" customWidth="1"/>
    <col min="5378" max="5378" width="16.33203125" style="9" customWidth="1"/>
    <col min="5379" max="5379" width="12.109375" style="9" customWidth="1"/>
    <col min="5380" max="5380" width="12.77734375" style="9" customWidth="1"/>
    <col min="5381" max="5381" width="15.44140625" style="9" customWidth="1"/>
    <col min="5382" max="5382" width="12.77734375" style="9" customWidth="1"/>
    <col min="5383" max="5632" width="9.109375" style="9"/>
    <col min="5633" max="5633" width="3.77734375" style="9" customWidth="1"/>
    <col min="5634" max="5634" width="16.33203125" style="9" customWidth="1"/>
    <col min="5635" max="5635" width="12.109375" style="9" customWidth="1"/>
    <col min="5636" max="5636" width="12.77734375" style="9" customWidth="1"/>
    <col min="5637" max="5637" width="15.44140625" style="9" customWidth="1"/>
    <col min="5638" max="5638" width="12.77734375" style="9" customWidth="1"/>
    <col min="5639" max="5888" width="9.109375" style="9"/>
    <col min="5889" max="5889" width="3.77734375" style="9" customWidth="1"/>
    <col min="5890" max="5890" width="16.33203125" style="9" customWidth="1"/>
    <col min="5891" max="5891" width="12.109375" style="9" customWidth="1"/>
    <col min="5892" max="5892" width="12.77734375" style="9" customWidth="1"/>
    <col min="5893" max="5893" width="15.44140625" style="9" customWidth="1"/>
    <col min="5894" max="5894" width="12.77734375" style="9" customWidth="1"/>
    <col min="5895" max="6144" width="9.109375" style="9"/>
    <col min="6145" max="6145" width="3.77734375" style="9" customWidth="1"/>
    <col min="6146" max="6146" width="16.33203125" style="9" customWidth="1"/>
    <col min="6147" max="6147" width="12.109375" style="9" customWidth="1"/>
    <col min="6148" max="6148" width="12.77734375" style="9" customWidth="1"/>
    <col min="6149" max="6149" width="15.44140625" style="9" customWidth="1"/>
    <col min="6150" max="6150" width="12.77734375" style="9" customWidth="1"/>
    <col min="6151" max="6400" width="9.109375" style="9"/>
    <col min="6401" max="6401" width="3.77734375" style="9" customWidth="1"/>
    <col min="6402" max="6402" width="16.33203125" style="9" customWidth="1"/>
    <col min="6403" max="6403" width="12.109375" style="9" customWidth="1"/>
    <col min="6404" max="6404" width="12.77734375" style="9" customWidth="1"/>
    <col min="6405" max="6405" width="15.44140625" style="9" customWidth="1"/>
    <col min="6406" max="6406" width="12.77734375" style="9" customWidth="1"/>
    <col min="6407" max="6656" width="9.109375" style="9"/>
    <col min="6657" max="6657" width="3.77734375" style="9" customWidth="1"/>
    <col min="6658" max="6658" width="16.33203125" style="9" customWidth="1"/>
    <col min="6659" max="6659" width="12.109375" style="9" customWidth="1"/>
    <col min="6660" max="6660" width="12.77734375" style="9" customWidth="1"/>
    <col min="6661" max="6661" width="15.44140625" style="9" customWidth="1"/>
    <col min="6662" max="6662" width="12.77734375" style="9" customWidth="1"/>
    <col min="6663" max="6912" width="9.109375" style="9"/>
    <col min="6913" max="6913" width="3.77734375" style="9" customWidth="1"/>
    <col min="6914" max="6914" width="16.33203125" style="9" customWidth="1"/>
    <col min="6915" max="6915" width="12.109375" style="9" customWidth="1"/>
    <col min="6916" max="6916" width="12.77734375" style="9" customWidth="1"/>
    <col min="6917" max="6917" width="15.44140625" style="9" customWidth="1"/>
    <col min="6918" max="6918" width="12.77734375" style="9" customWidth="1"/>
    <col min="6919" max="7168" width="9.109375" style="9"/>
    <col min="7169" max="7169" width="3.77734375" style="9" customWidth="1"/>
    <col min="7170" max="7170" width="16.33203125" style="9" customWidth="1"/>
    <col min="7171" max="7171" width="12.109375" style="9" customWidth="1"/>
    <col min="7172" max="7172" width="12.77734375" style="9" customWidth="1"/>
    <col min="7173" max="7173" width="15.44140625" style="9" customWidth="1"/>
    <col min="7174" max="7174" width="12.77734375" style="9" customWidth="1"/>
    <col min="7175" max="7424" width="9.109375" style="9"/>
    <col min="7425" max="7425" width="3.77734375" style="9" customWidth="1"/>
    <col min="7426" max="7426" width="16.33203125" style="9" customWidth="1"/>
    <col min="7427" max="7427" width="12.109375" style="9" customWidth="1"/>
    <col min="7428" max="7428" width="12.77734375" style="9" customWidth="1"/>
    <col min="7429" max="7429" width="15.44140625" style="9" customWidth="1"/>
    <col min="7430" max="7430" width="12.77734375" style="9" customWidth="1"/>
    <col min="7431" max="7680" width="9.109375" style="9"/>
    <col min="7681" max="7681" width="3.77734375" style="9" customWidth="1"/>
    <col min="7682" max="7682" width="16.33203125" style="9" customWidth="1"/>
    <col min="7683" max="7683" width="12.109375" style="9" customWidth="1"/>
    <col min="7684" max="7684" width="12.77734375" style="9" customWidth="1"/>
    <col min="7685" max="7685" width="15.44140625" style="9" customWidth="1"/>
    <col min="7686" max="7686" width="12.77734375" style="9" customWidth="1"/>
    <col min="7687" max="7936" width="9.109375" style="9"/>
    <col min="7937" max="7937" width="3.77734375" style="9" customWidth="1"/>
    <col min="7938" max="7938" width="16.33203125" style="9" customWidth="1"/>
    <col min="7939" max="7939" width="12.109375" style="9" customWidth="1"/>
    <col min="7940" max="7940" width="12.77734375" style="9" customWidth="1"/>
    <col min="7941" max="7941" width="15.44140625" style="9" customWidth="1"/>
    <col min="7942" max="7942" width="12.77734375" style="9" customWidth="1"/>
    <col min="7943" max="8192" width="9.109375" style="9"/>
    <col min="8193" max="8193" width="3.77734375" style="9" customWidth="1"/>
    <col min="8194" max="8194" width="16.33203125" style="9" customWidth="1"/>
    <col min="8195" max="8195" width="12.109375" style="9" customWidth="1"/>
    <col min="8196" max="8196" width="12.77734375" style="9" customWidth="1"/>
    <col min="8197" max="8197" width="15.44140625" style="9" customWidth="1"/>
    <col min="8198" max="8198" width="12.77734375" style="9" customWidth="1"/>
    <col min="8199" max="8448" width="9.109375" style="9"/>
    <col min="8449" max="8449" width="3.77734375" style="9" customWidth="1"/>
    <col min="8450" max="8450" width="16.33203125" style="9" customWidth="1"/>
    <col min="8451" max="8451" width="12.109375" style="9" customWidth="1"/>
    <col min="8452" max="8452" width="12.77734375" style="9" customWidth="1"/>
    <col min="8453" max="8453" width="15.44140625" style="9" customWidth="1"/>
    <col min="8454" max="8454" width="12.77734375" style="9" customWidth="1"/>
    <col min="8455" max="8704" width="9.109375" style="9"/>
    <col min="8705" max="8705" width="3.77734375" style="9" customWidth="1"/>
    <col min="8706" max="8706" width="16.33203125" style="9" customWidth="1"/>
    <col min="8707" max="8707" width="12.109375" style="9" customWidth="1"/>
    <col min="8708" max="8708" width="12.77734375" style="9" customWidth="1"/>
    <col min="8709" max="8709" width="15.44140625" style="9" customWidth="1"/>
    <col min="8710" max="8710" width="12.77734375" style="9" customWidth="1"/>
    <col min="8711" max="8960" width="9.109375" style="9"/>
    <col min="8961" max="8961" width="3.77734375" style="9" customWidth="1"/>
    <col min="8962" max="8962" width="16.33203125" style="9" customWidth="1"/>
    <col min="8963" max="8963" width="12.109375" style="9" customWidth="1"/>
    <col min="8964" max="8964" width="12.77734375" style="9" customWidth="1"/>
    <col min="8965" max="8965" width="15.44140625" style="9" customWidth="1"/>
    <col min="8966" max="8966" width="12.77734375" style="9" customWidth="1"/>
    <col min="8967" max="9216" width="9.109375" style="9"/>
    <col min="9217" max="9217" width="3.77734375" style="9" customWidth="1"/>
    <col min="9218" max="9218" width="16.33203125" style="9" customWidth="1"/>
    <col min="9219" max="9219" width="12.109375" style="9" customWidth="1"/>
    <col min="9220" max="9220" width="12.77734375" style="9" customWidth="1"/>
    <col min="9221" max="9221" width="15.44140625" style="9" customWidth="1"/>
    <col min="9222" max="9222" width="12.77734375" style="9" customWidth="1"/>
    <col min="9223" max="9472" width="9.109375" style="9"/>
    <col min="9473" max="9473" width="3.77734375" style="9" customWidth="1"/>
    <col min="9474" max="9474" width="16.33203125" style="9" customWidth="1"/>
    <col min="9475" max="9475" width="12.109375" style="9" customWidth="1"/>
    <col min="9476" max="9476" width="12.77734375" style="9" customWidth="1"/>
    <col min="9477" max="9477" width="15.44140625" style="9" customWidth="1"/>
    <col min="9478" max="9478" width="12.77734375" style="9" customWidth="1"/>
    <col min="9479" max="9728" width="9.109375" style="9"/>
    <col min="9729" max="9729" width="3.77734375" style="9" customWidth="1"/>
    <col min="9730" max="9730" width="16.33203125" style="9" customWidth="1"/>
    <col min="9731" max="9731" width="12.109375" style="9" customWidth="1"/>
    <col min="9732" max="9732" width="12.77734375" style="9" customWidth="1"/>
    <col min="9733" max="9733" width="15.44140625" style="9" customWidth="1"/>
    <col min="9734" max="9734" width="12.77734375" style="9" customWidth="1"/>
    <col min="9735" max="9984" width="9.109375" style="9"/>
    <col min="9985" max="9985" width="3.77734375" style="9" customWidth="1"/>
    <col min="9986" max="9986" width="16.33203125" style="9" customWidth="1"/>
    <col min="9987" max="9987" width="12.109375" style="9" customWidth="1"/>
    <col min="9988" max="9988" width="12.77734375" style="9" customWidth="1"/>
    <col min="9989" max="9989" width="15.44140625" style="9" customWidth="1"/>
    <col min="9990" max="9990" width="12.77734375" style="9" customWidth="1"/>
    <col min="9991" max="10240" width="9.109375" style="9"/>
    <col min="10241" max="10241" width="3.77734375" style="9" customWidth="1"/>
    <col min="10242" max="10242" width="16.33203125" style="9" customWidth="1"/>
    <col min="10243" max="10243" width="12.109375" style="9" customWidth="1"/>
    <col min="10244" max="10244" width="12.77734375" style="9" customWidth="1"/>
    <col min="10245" max="10245" width="15.44140625" style="9" customWidth="1"/>
    <col min="10246" max="10246" width="12.77734375" style="9" customWidth="1"/>
    <col min="10247" max="10496" width="9.109375" style="9"/>
    <col min="10497" max="10497" width="3.77734375" style="9" customWidth="1"/>
    <col min="10498" max="10498" width="16.33203125" style="9" customWidth="1"/>
    <col min="10499" max="10499" width="12.109375" style="9" customWidth="1"/>
    <col min="10500" max="10500" width="12.77734375" style="9" customWidth="1"/>
    <col min="10501" max="10501" width="15.44140625" style="9" customWidth="1"/>
    <col min="10502" max="10502" width="12.77734375" style="9" customWidth="1"/>
    <col min="10503" max="10752" width="9.109375" style="9"/>
    <col min="10753" max="10753" width="3.77734375" style="9" customWidth="1"/>
    <col min="10754" max="10754" width="16.33203125" style="9" customWidth="1"/>
    <col min="10755" max="10755" width="12.109375" style="9" customWidth="1"/>
    <col min="10756" max="10756" width="12.77734375" style="9" customWidth="1"/>
    <col min="10757" max="10757" width="15.44140625" style="9" customWidth="1"/>
    <col min="10758" max="10758" width="12.77734375" style="9" customWidth="1"/>
    <col min="10759" max="11008" width="9.109375" style="9"/>
    <col min="11009" max="11009" width="3.77734375" style="9" customWidth="1"/>
    <col min="11010" max="11010" width="16.33203125" style="9" customWidth="1"/>
    <col min="11011" max="11011" width="12.109375" style="9" customWidth="1"/>
    <col min="11012" max="11012" width="12.77734375" style="9" customWidth="1"/>
    <col min="11013" max="11013" width="15.44140625" style="9" customWidth="1"/>
    <col min="11014" max="11014" width="12.77734375" style="9" customWidth="1"/>
    <col min="11015" max="11264" width="9.109375" style="9"/>
    <col min="11265" max="11265" width="3.77734375" style="9" customWidth="1"/>
    <col min="11266" max="11266" width="16.33203125" style="9" customWidth="1"/>
    <col min="11267" max="11267" width="12.109375" style="9" customWidth="1"/>
    <col min="11268" max="11268" width="12.77734375" style="9" customWidth="1"/>
    <col min="11269" max="11269" width="15.44140625" style="9" customWidth="1"/>
    <col min="11270" max="11270" width="12.77734375" style="9" customWidth="1"/>
    <col min="11271" max="11520" width="9.109375" style="9"/>
    <col min="11521" max="11521" width="3.77734375" style="9" customWidth="1"/>
    <col min="11522" max="11522" width="16.33203125" style="9" customWidth="1"/>
    <col min="11523" max="11523" width="12.109375" style="9" customWidth="1"/>
    <col min="11524" max="11524" width="12.77734375" style="9" customWidth="1"/>
    <col min="11525" max="11525" width="15.44140625" style="9" customWidth="1"/>
    <col min="11526" max="11526" width="12.77734375" style="9" customWidth="1"/>
    <col min="11527" max="11776" width="9.109375" style="9"/>
    <col min="11777" max="11777" width="3.77734375" style="9" customWidth="1"/>
    <col min="11778" max="11778" width="16.33203125" style="9" customWidth="1"/>
    <col min="11779" max="11779" width="12.109375" style="9" customWidth="1"/>
    <col min="11780" max="11780" width="12.77734375" style="9" customWidth="1"/>
    <col min="11781" max="11781" width="15.44140625" style="9" customWidth="1"/>
    <col min="11782" max="11782" width="12.77734375" style="9" customWidth="1"/>
    <col min="11783" max="12032" width="9.109375" style="9"/>
    <col min="12033" max="12033" width="3.77734375" style="9" customWidth="1"/>
    <col min="12034" max="12034" width="16.33203125" style="9" customWidth="1"/>
    <col min="12035" max="12035" width="12.109375" style="9" customWidth="1"/>
    <col min="12036" max="12036" width="12.77734375" style="9" customWidth="1"/>
    <col min="12037" max="12037" width="15.44140625" style="9" customWidth="1"/>
    <col min="12038" max="12038" width="12.77734375" style="9" customWidth="1"/>
    <col min="12039" max="12288" width="9.109375" style="9"/>
    <col min="12289" max="12289" width="3.77734375" style="9" customWidth="1"/>
    <col min="12290" max="12290" width="16.33203125" style="9" customWidth="1"/>
    <col min="12291" max="12291" width="12.109375" style="9" customWidth="1"/>
    <col min="12292" max="12292" width="12.77734375" style="9" customWidth="1"/>
    <col min="12293" max="12293" width="15.44140625" style="9" customWidth="1"/>
    <col min="12294" max="12294" width="12.77734375" style="9" customWidth="1"/>
    <col min="12295" max="12544" width="9.109375" style="9"/>
    <col min="12545" max="12545" width="3.77734375" style="9" customWidth="1"/>
    <col min="12546" max="12546" width="16.33203125" style="9" customWidth="1"/>
    <col min="12547" max="12547" width="12.109375" style="9" customWidth="1"/>
    <col min="12548" max="12548" width="12.77734375" style="9" customWidth="1"/>
    <col min="12549" max="12549" width="15.44140625" style="9" customWidth="1"/>
    <col min="12550" max="12550" width="12.77734375" style="9" customWidth="1"/>
    <col min="12551" max="12800" width="9.109375" style="9"/>
    <col min="12801" max="12801" width="3.77734375" style="9" customWidth="1"/>
    <col min="12802" max="12802" width="16.33203125" style="9" customWidth="1"/>
    <col min="12803" max="12803" width="12.109375" style="9" customWidth="1"/>
    <col min="12804" max="12804" width="12.77734375" style="9" customWidth="1"/>
    <col min="12805" max="12805" width="15.44140625" style="9" customWidth="1"/>
    <col min="12806" max="12806" width="12.77734375" style="9" customWidth="1"/>
    <col min="12807" max="13056" width="9.109375" style="9"/>
    <col min="13057" max="13057" width="3.77734375" style="9" customWidth="1"/>
    <col min="13058" max="13058" width="16.33203125" style="9" customWidth="1"/>
    <col min="13059" max="13059" width="12.109375" style="9" customWidth="1"/>
    <col min="13060" max="13060" width="12.77734375" style="9" customWidth="1"/>
    <col min="13061" max="13061" width="15.44140625" style="9" customWidth="1"/>
    <col min="13062" max="13062" width="12.77734375" style="9" customWidth="1"/>
    <col min="13063" max="13312" width="9.109375" style="9"/>
    <col min="13313" max="13313" width="3.77734375" style="9" customWidth="1"/>
    <col min="13314" max="13314" width="16.33203125" style="9" customWidth="1"/>
    <col min="13315" max="13315" width="12.109375" style="9" customWidth="1"/>
    <col min="13316" max="13316" width="12.77734375" style="9" customWidth="1"/>
    <col min="13317" max="13317" width="15.44140625" style="9" customWidth="1"/>
    <col min="13318" max="13318" width="12.77734375" style="9" customWidth="1"/>
    <col min="13319" max="13568" width="9.109375" style="9"/>
    <col min="13569" max="13569" width="3.77734375" style="9" customWidth="1"/>
    <col min="13570" max="13570" width="16.33203125" style="9" customWidth="1"/>
    <col min="13571" max="13571" width="12.109375" style="9" customWidth="1"/>
    <col min="13572" max="13572" width="12.77734375" style="9" customWidth="1"/>
    <col min="13573" max="13573" width="15.44140625" style="9" customWidth="1"/>
    <col min="13574" max="13574" width="12.77734375" style="9" customWidth="1"/>
    <col min="13575" max="13824" width="9.109375" style="9"/>
    <col min="13825" max="13825" width="3.77734375" style="9" customWidth="1"/>
    <col min="13826" max="13826" width="16.33203125" style="9" customWidth="1"/>
    <col min="13827" max="13827" width="12.109375" style="9" customWidth="1"/>
    <col min="13828" max="13828" width="12.77734375" style="9" customWidth="1"/>
    <col min="13829" max="13829" width="15.44140625" style="9" customWidth="1"/>
    <col min="13830" max="13830" width="12.77734375" style="9" customWidth="1"/>
    <col min="13831" max="14080" width="9.109375" style="9"/>
    <col min="14081" max="14081" width="3.77734375" style="9" customWidth="1"/>
    <col min="14082" max="14082" width="16.33203125" style="9" customWidth="1"/>
    <col min="14083" max="14083" width="12.109375" style="9" customWidth="1"/>
    <col min="14084" max="14084" width="12.77734375" style="9" customWidth="1"/>
    <col min="14085" max="14085" width="15.44140625" style="9" customWidth="1"/>
    <col min="14086" max="14086" width="12.77734375" style="9" customWidth="1"/>
    <col min="14087" max="14336" width="9.109375" style="9"/>
    <col min="14337" max="14337" width="3.77734375" style="9" customWidth="1"/>
    <col min="14338" max="14338" width="16.33203125" style="9" customWidth="1"/>
    <col min="14339" max="14339" width="12.109375" style="9" customWidth="1"/>
    <col min="14340" max="14340" width="12.77734375" style="9" customWidth="1"/>
    <col min="14341" max="14341" width="15.44140625" style="9" customWidth="1"/>
    <col min="14342" max="14342" width="12.77734375" style="9" customWidth="1"/>
    <col min="14343" max="14592" width="9.109375" style="9"/>
    <col min="14593" max="14593" width="3.77734375" style="9" customWidth="1"/>
    <col min="14594" max="14594" width="16.33203125" style="9" customWidth="1"/>
    <col min="14595" max="14595" width="12.109375" style="9" customWidth="1"/>
    <col min="14596" max="14596" width="12.77734375" style="9" customWidth="1"/>
    <col min="14597" max="14597" width="15.44140625" style="9" customWidth="1"/>
    <col min="14598" max="14598" width="12.77734375" style="9" customWidth="1"/>
    <col min="14599" max="14848" width="9.109375" style="9"/>
    <col min="14849" max="14849" width="3.77734375" style="9" customWidth="1"/>
    <col min="14850" max="14850" width="16.33203125" style="9" customWidth="1"/>
    <col min="14851" max="14851" width="12.109375" style="9" customWidth="1"/>
    <col min="14852" max="14852" width="12.77734375" style="9" customWidth="1"/>
    <col min="14853" max="14853" width="15.44140625" style="9" customWidth="1"/>
    <col min="14854" max="14854" width="12.77734375" style="9" customWidth="1"/>
    <col min="14855" max="15104" width="9.109375" style="9"/>
    <col min="15105" max="15105" width="3.77734375" style="9" customWidth="1"/>
    <col min="15106" max="15106" width="16.33203125" style="9" customWidth="1"/>
    <col min="15107" max="15107" width="12.109375" style="9" customWidth="1"/>
    <col min="15108" max="15108" width="12.77734375" style="9" customWidth="1"/>
    <col min="15109" max="15109" width="15.44140625" style="9" customWidth="1"/>
    <col min="15110" max="15110" width="12.77734375" style="9" customWidth="1"/>
    <col min="15111" max="15360" width="9.109375" style="9"/>
    <col min="15361" max="15361" width="3.77734375" style="9" customWidth="1"/>
    <col min="15362" max="15362" width="16.33203125" style="9" customWidth="1"/>
    <col min="15363" max="15363" width="12.109375" style="9" customWidth="1"/>
    <col min="15364" max="15364" width="12.77734375" style="9" customWidth="1"/>
    <col min="15365" max="15365" width="15.44140625" style="9" customWidth="1"/>
    <col min="15366" max="15366" width="12.77734375" style="9" customWidth="1"/>
    <col min="15367" max="15616" width="9.109375" style="9"/>
    <col min="15617" max="15617" width="3.77734375" style="9" customWidth="1"/>
    <col min="15618" max="15618" width="16.33203125" style="9" customWidth="1"/>
    <col min="15619" max="15619" width="12.109375" style="9" customWidth="1"/>
    <col min="15620" max="15620" width="12.77734375" style="9" customWidth="1"/>
    <col min="15621" max="15621" width="15.44140625" style="9" customWidth="1"/>
    <col min="15622" max="15622" width="12.77734375" style="9" customWidth="1"/>
    <col min="15623" max="15872" width="9.109375" style="9"/>
    <col min="15873" max="15873" width="3.77734375" style="9" customWidth="1"/>
    <col min="15874" max="15874" width="16.33203125" style="9" customWidth="1"/>
    <col min="15875" max="15875" width="12.109375" style="9" customWidth="1"/>
    <col min="15876" max="15876" width="12.77734375" style="9" customWidth="1"/>
    <col min="15877" max="15877" width="15.44140625" style="9" customWidth="1"/>
    <col min="15878" max="15878" width="12.77734375" style="9" customWidth="1"/>
    <col min="15879" max="16128" width="9.109375" style="9"/>
    <col min="16129" max="16129" width="3.77734375" style="9" customWidth="1"/>
    <col min="16130" max="16130" width="16.33203125" style="9" customWidth="1"/>
    <col min="16131" max="16131" width="12.109375" style="9" customWidth="1"/>
    <col min="16132" max="16132" width="12.77734375" style="9" customWidth="1"/>
    <col min="16133" max="16133" width="15.44140625" style="9" customWidth="1"/>
    <col min="16134" max="16134" width="12.77734375" style="9" customWidth="1"/>
    <col min="16135" max="16384" width="9.109375" style="9"/>
  </cols>
  <sheetData>
    <row r="3" spans="2:8" ht="16.2" thickBot="1" x14ac:dyDescent="0.35"/>
    <row r="4" spans="2:8" ht="16.2" thickBot="1" x14ac:dyDescent="0.35">
      <c r="B4" s="10" t="s">
        <v>3</v>
      </c>
      <c r="C4" s="11" t="s">
        <v>4</v>
      </c>
      <c r="D4" s="11" t="s">
        <v>5</v>
      </c>
      <c r="E4" s="12" t="s">
        <v>6</v>
      </c>
      <c r="F4" s="13" t="s">
        <v>16</v>
      </c>
    </row>
    <row r="5" spans="2:8" x14ac:dyDescent="0.3">
      <c r="B5" s="14">
        <v>101</v>
      </c>
      <c r="C5" s="15" t="s">
        <v>7</v>
      </c>
      <c r="D5" s="15">
        <v>54</v>
      </c>
      <c r="E5" s="16">
        <v>10</v>
      </c>
      <c r="F5" s="17">
        <f>D5*E5</f>
        <v>540</v>
      </c>
    </row>
    <row r="6" spans="2:8" x14ac:dyDescent="0.3">
      <c r="B6" s="14">
        <v>102</v>
      </c>
      <c r="C6" s="15" t="s">
        <v>8</v>
      </c>
      <c r="D6" s="15">
        <v>76</v>
      </c>
      <c r="E6" s="16">
        <v>3</v>
      </c>
      <c r="F6" s="15">
        <f t="shared" ref="F6:F13" si="0">D6*E6</f>
        <v>228</v>
      </c>
    </row>
    <row r="7" spans="2:8" x14ac:dyDescent="0.3">
      <c r="B7" s="14">
        <v>103</v>
      </c>
      <c r="C7" s="15" t="s">
        <v>9</v>
      </c>
      <c r="D7" s="15">
        <v>87</v>
      </c>
      <c r="E7" s="16">
        <v>8</v>
      </c>
      <c r="F7" s="15">
        <f t="shared" si="0"/>
        <v>696</v>
      </c>
    </row>
    <row r="8" spans="2:8" x14ac:dyDescent="0.3">
      <c r="B8" s="14">
        <v>104</v>
      </c>
      <c r="C8" s="15" t="s">
        <v>10</v>
      </c>
      <c r="D8" s="15">
        <v>23</v>
      </c>
      <c r="E8" s="16">
        <v>9</v>
      </c>
      <c r="F8" s="15">
        <f t="shared" si="0"/>
        <v>207</v>
      </c>
    </row>
    <row r="9" spans="2:8" x14ac:dyDescent="0.3">
      <c r="B9" s="14">
        <v>105</v>
      </c>
      <c r="C9" s="15" t="s">
        <v>11</v>
      </c>
      <c r="D9" s="15">
        <v>56</v>
      </c>
      <c r="E9" s="16">
        <v>3</v>
      </c>
      <c r="F9" s="15">
        <f t="shared" si="0"/>
        <v>168</v>
      </c>
    </row>
    <row r="10" spans="2:8" x14ac:dyDescent="0.3">
      <c r="B10" s="14">
        <v>106</v>
      </c>
      <c r="C10" s="15" t="s">
        <v>12</v>
      </c>
      <c r="D10" s="15">
        <v>87</v>
      </c>
      <c r="E10" s="16">
        <v>9</v>
      </c>
      <c r="F10" s="15">
        <f t="shared" si="0"/>
        <v>783</v>
      </c>
    </row>
    <row r="11" spans="2:8" x14ac:dyDescent="0.3">
      <c r="B11" s="14">
        <v>107</v>
      </c>
      <c r="C11" s="15" t="s">
        <v>13</v>
      </c>
      <c r="D11" s="15">
        <v>34</v>
      </c>
      <c r="E11" s="16">
        <v>4</v>
      </c>
      <c r="F11" s="15">
        <f t="shared" si="0"/>
        <v>136</v>
      </c>
    </row>
    <row r="12" spans="2:8" x14ac:dyDescent="0.3">
      <c r="B12" s="14">
        <v>108</v>
      </c>
      <c r="C12" s="15" t="s">
        <v>14</v>
      </c>
      <c r="D12" s="15">
        <v>67</v>
      </c>
      <c r="E12" s="16">
        <v>7</v>
      </c>
      <c r="F12" s="15">
        <f t="shared" si="0"/>
        <v>469</v>
      </c>
    </row>
    <row r="13" spans="2:8" ht="16.2" thickBot="1" x14ac:dyDescent="0.35">
      <c r="B13" s="18">
        <v>109</v>
      </c>
      <c r="C13" s="19" t="s">
        <v>15</v>
      </c>
      <c r="D13" s="19">
        <v>34</v>
      </c>
      <c r="E13" s="20">
        <v>8</v>
      </c>
      <c r="F13" s="15">
        <f t="shared" si="0"/>
        <v>272</v>
      </c>
    </row>
    <row r="14" spans="2:8" ht="16.2" thickBot="1" x14ac:dyDescent="0.35">
      <c r="D14" s="21" t="s">
        <v>16</v>
      </c>
      <c r="E14" s="22"/>
      <c r="F14" s="23">
        <f>SUM(F5:F13)</f>
        <v>3499</v>
      </c>
    </row>
    <row r="15" spans="2:8" ht="16.2" thickBot="1" x14ac:dyDescent="0.35"/>
    <row r="16" spans="2:8" x14ac:dyDescent="0.3">
      <c r="B16" s="10" t="s">
        <v>17</v>
      </c>
      <c r="C16" s="11" t="s">
        <v>18</v>
      </c>
      <c r="D16" s="11" t="s">
        <v>19</v>
      </c>
      <c r="E16" s="11" t="s">
        <v>20</v>
      </c>
      <c r="F16" s="24" t="s">
        <v>21</v>
      </c>
      <c r="G16" s="25" t="s">
        <v>228</v>
      </c>
      <c r="H16" s="31" t="s">
        <v>240</v>
      </c>
    </row>
    <row r="17" spans="2:9" x14ac:dyDescent="0.3">
      <c r="B17" s="14" t="s">
        <v>22</v>
      </c>
      <c r="C17" s="15" t="s">
        <v>23</v>
      </c>
      <c r="D17" s="15">
        <v>10000</v>
      </c>
      <c r="E17" s="27">
        <v>0.1</v>
      </c>
      <c r="F17" s="28" t="s">
        <v>24</v>
      </c>
      <c r="G17" s="15">
        <f>(D17*E17)</f>
        <v>1000</v>
      </c>
      <c r="H17" s="15" t="str">
        <f>IF(G17&gt;2000, "A", "B")</f>
        <v>B</v>
      </c>
    </row>
    <row r="18" spans="2:9" x14ac:dyDescent="0.3">
      <c r="B18" s="14" t="s">
        <v>25</v>
      </c>
      <c r="C18" s="15" t="s">
        <v>26</v>
      </c>
      <c r="D18" s="15">
        <v>2000</v>
      </c>
      <c r="E18" s="27">
        <v>0.12</v>
      </c>
      <c r="F18" s="16" t="s">
        <v>24</v>
      </c>
      <c r="G18" s="15">
        <f t="shared" ref="G18:G25" si="1">(D18*E18)</f>
        <v>240</v>
      </c>
      <c r="H18" s="15" t="str">
        <f t="shared" ref="H18:H25" si="2">IF(G18&gt;2000, "A", "B")</f>
        <v>B</v>
      </c>
    </row>
    <row r="19" spans="2:9" x14ac:dyDescent="0.3">
      <c r="B19" s="14" t="s">
        <v>27</v>
      </c>
      <c r="C19" s="15" t="s">
        <v>28</v>
      </c>
      <c r="D19" s="15">
        <v>20000</v>
      </c>
      <c r="E19" s="27">
        <v>0.1</v>
      </c>
      <c r="F19" s="16" t="s">
        <v>29</v>
      </c>
      <c r="G19" s="15">
        <f t="shared" si="1"/>
        <v>2000</v>
      </c>
      <c r="H19" s="15" t="str">
        <f t="shared" si="2"/>
        <v>B</v>
      </c>
    </row>
    <row r="20" spans="2:9" x14ac:dyDescent="0.3">
      <c r="B20" s="14" t="s">
        <v>30</v>
      </c>
      <c r="C20" s="15" t="s">
        <v>31</v>
      </c>
      <c r="D20" s="15">
        <v>33000</v>
      </c>
      <c r="E20" s="27">
        <v>0.15</v>
      </c>
      <c r="F20" s="16" t="s">
        <v>32</v>
      </c>
      <c r="G20" s="15">
        <f t="shared" si="1"/>
        <v>4950</v>
      </c>
      <c r="H20" s="15" t="str">
        <f t="shared" si="2"/>
        <v>A</v>
      </c>
    </row>
    <row r="21" spans="2:9" x14ac:dyDescent="0.3">
      <c r="B21" s="14" t="s">
        <v>33</v>
      </c>
      <c r="C21" s="15" t="s">
        <v>34</v>
      </c>
      <c r="D21" s="15">
        <v>10200</v>
      </c>
      <c r="E21" s="27">
        <v>0.2</v>
      </c>
      <c r="F21" s="16" t="s">
        <v>32</v>
      </c>
      <c r="G21" s="15">
        <f t="shared" si="1"/>
        <v>2040</v>
      </c>
      <c r="H21" s="15" t="str">
        <f t="shared" si="2"/>
        <v>A</v>
      </c>
    </row>
    <row r="22" spans="2:9" x14ac:dyDescent="0.3">
      <c r="B22" s="14" t="s">
        <v>35</v>
      </c>
      <c r="C22" s="15" t="s">
        <v>36</v>
      </c>
      <c r="D22" s="15">
        <v>13300</v>
      </c>
      <c r="E22" s="27">
        <v>0.13</v>
      </c>
      <c r="F22" s="16" t="s">
        <v>37</v>
      </c>
      <c r="G22" s="15">
        <f t="shared" si="1"/>
        <v>1729</v>
      </c>
      <c r="H22" s="15" t="str">
        <f t="shared" si="2"/>
        <v>B</v>
      </c>
    </row>
    <row r="23" spans="2:9" x14ac:dyDescent="0.3">
      <c r="B23" s="14" t="s">
        <v>38</v>
      </c>
      <c r="C23" s="15" t="s">
        <v>39</v>
      </c>
      <c r="D23" s="15">
        <v>43000</v>
      </c>
      <c r="E23" s="27">
        <v>0.12</v>
      </c>
      <c r="F23" s="16" t="s">
        <v>24</v>
      </c>
      <c r="G23" s="15">
        <f t="shared" si="1"/>
        <v>5160</v>
      </c>
      <c r="H23" s="15" t="str">
        <f t="shared" si="2"/>
        <v>A</v>
      </c>
    </row>
    <row r="24" spans="2:9" x14ac:dyDescent="0.3">
      <c r="B24" s="14" t="s">
        <v>40</v>
      </c>
      <c r="C24" s="15" t="s">
        <v>41</v>
      </c>
      <c r="D24" s="15">
        <v>54300</v>
      </c>
      <c r="E24" s="27">
        <v>0.1</v>
      </c>
      <c r="F24" s="16" t="s">
        <v>42</v>
      </c>
      <c r="G24" s="15">
        <f t="shared" si="1"/>
        <v>5430</v>
      </c>
      <c r="H24" s="15" t="str">
        <f t="shared" si="2"/>
        <v>A</v>
      </c>
    </row>
    <row r="25" spans="2:9" ht="16.2" thickBot="1" x14ac:dyDescent="0.35">
      <c r="B25" s="18" t="s">
        <v>43</v>
      </c>
      <c r="C25" s="19" t="s">
        <v>44</v>
      </c>
      <c r="D25" s="19">
        <v>43000</v>
      </c>
      <c r="E25" s="29">
        <v>0.1</v>
      </c>
      <c r="F25" s="20" t="s">
        <v>42</v>
      </c>
      <c r="G25" s="15">
        <f t="shared" si="1"/>
        <v>4300</v>
      </c>
      <c r="H25" s="15" t="str">
        <f t="shared" si="2"/>
        <v>A</v>
      </c>
    </row>
    <row r="28" spans="2:9" x14ac:dyDescent="0.3">
      <c r="C28" s="9" t="s">
        <v>241</v>
      </c>
      <c r="D28" s="49" t="s">
        <v>239</v>
      </c>
      <c r="E28" s="49"/>
      <c r="F28" s="49"/>
      <c r="G28" s="49"/>
      <c r="H28" s="49"/>
      <c r="I28" s="30"/>
    </row>
  </sheetData>
  <mergeCells count="1">
    <mergeCell ref="D28:H28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8029-62FD-4323-96A6-6E40C31BE592}">
  <dimension ref="B2:C14"/>
  <sheetViews>
    <sheetView zoomScale="115" zoomScaleNormal="115" workbookViewId="0">
      <selection activeCell="D6" sqref="D6"/>
    </sheetView>
  </sheetViews>
  <sheetFormatPr defaultColWidth="8.77734375" defaultRowHeight="14.4" x14ac:dyDescent="0.3"/>
  <cols>
    <col min="2" max="2" width="32.88671875" bestFit="1" customWidth="1"/>
    <col min="3" max="3" width="22" customWidth="1"/>
    <col min="4" max="4" width="24.44140625" customWidth="1"/>
  </cols>
  <sheetData>
    <row r="2" spans="2:3" x14ac:dyDescent="0.3">
      <c r="B2" s="6" t="s">
        <v>165</v>
      </c>
    </row>
    <row r="3" spans="2:3" x14ac:dyDescent="0.3">
      <c r="B3" t="s">
        <v>1</v>
      </c>
      <c r="C3" t="s">
        <v>234</v>
      </c>
    </row>
    <row r="4" spans="2:3" x14ac:dyDescent="0.3">
      <c r="B4" t="s">
        <v>2</v>
      </c>
      <c r="C4" t="s">
        <v>235</v>
      </c>
    </row>
    <row r="6" spans="2:3" x14ac:dyDescent="0.3">
      <c r="B6" s="7" t="s">
        <v>0</v>
      </c>
      <c r="C6" s="8" t="s">
        <v>236</v>
      </c>
    </row>
    <row r="7" spans="2:3" x14ac:dyDescent="0.3">
      <c r="B7" s="4">
        <v>58</v>
      </c>
      <c r="C7" s="4">
        <f>_xlfn.IFS(B7&lt;=100, B7*200, B7&gt;100, B7*180)</f>
        <v>11600</v>
      </c>
    </row>
    <row r="8" spans="2:3" x14ac:dyDescent="0.3">
      <c r="B8" s="4">
        <v>25</v>
      </c>
      <c r="C8" s="4">
        <f t="shared" ref="C8:C14" si="0">_xlfn.IFS(B8&lt;=100, B8*200, B8&gt;100, B8*180)</f>
        <v>5000</v>
      </c>
    </row>
    <row r="9" spans="2:3" x14ac:dyDescent="0.3">
      <c r="B9" s="4">
        <v>120</v>
      </c>
      <c r="C9" s="4">
        <f t="shared" si="0"/>
        <v>21600</v>
      </c>
    </row>
    <row r="10" spans="2:3" x14ac:dyDescent="0.3">
      <c r="B10" s="4">
        <v>80</v>
      </c>
      <c r="C10" s="4">
        <f t="shared" si="0"/>
        <v>16000</v>
      </c>
    </row>
    <row r="11" spans="2:3" x14ac:dyDescent="0.3">
      <c r="B11" s="4">
        <v>150</v>
      </c>
      <c r="C11" s="4">
        <f t="shared" si="0"/>
        <v>27000</v>
      </c>
    </row>
    <row r="12" spans="2:3" x14ac:dyDescent="0.3">
      <c r="B12" s="4">
        <v>234</v>
      </c>
      <c r="C12" s="4">
        <f t="shared" si="0"/>
        <v>42120</v>
      </c>
    </row>
    <row r="13" spans="2:3" x14ac:dyDescent="0.3">
      <c r="B13" s="4">
        <v>90</v>
      </c>
      <c r="C13" s="4">
        <f t="shared" si="0"/>
        <v>18000</v>
      </c>
    </row>
    <row r="14" spans="2:3" x14ac:dyDescent="0.3">
      <c r="B14" s="4">
        <v>123</v>
      </c>
      <c r="C14" s="4">
        <f t="shared" si="0"/>
        <v>22140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12DA-6486-4F90-B989-4BF3FE1537F7}">
  <dimension ref="B2:F19"/>
  <sheetViews>
    <sheetView workbookViewId="0">
      <selection activeCell="I9" sqref="I9"/>
    </sheetView>
  </sheetViews>
  <sheetFormatPr defaultColWidth="9.109375" defaultRowHeight="15.6" x14ac:dyDescent="0.3"/>
  <cols>
    <col min="1" max="1" width="9.109375" style="35"/>
    <col min="2" max="2" width="16.33203125" style="35" customWidth="1"/>
    <col min="3" max="3" width="19.5546875" style="35" customWidth="1"/>
    <col min="4" max="4" width="16.77734375" style="35" customWidth="1"/>
    <col min="5" max="5" width="18.33203125" style="35" customWidth="1"/>
    <col min="6" max="6" width="27.44140625" style="35" customWidth="1"/>
    <col min="7" max="16384" width="9.109375" style="35"/>
  </cols>
  <sheetData>
    <row r="2" spans="2:6" ht="16.2" thickBot="1" x14ac:dyDescent="0.35"/>
    <row r="3" spans="2:6" x14ac:dyDescent="0.3">
      <c r="B3" s="10" t="s">
        <v>3</v>
      </c>
      <c r="C3" s="11" t="s">
        <v>4</v>
      </c>
      <c r="D3" s="32" t="s">
        <v>6</v>
      </c>
      <c r="E3" s="39" t="s">
        <v>242</v>
      </c>
      <c r="F3" s="40" t="s">
        <v>243</v>
      </c>
    </row>
    <row r="4" spans="2:6" x14ac:dyDescent="0.3">
      <c r="B4" s="36">
        <v>101</v>
      </c>
      <c r="C4" s="26" t="s">
        <v>45</v>
      </c>
      <c r="D4" s="41">
        <v>100</v>
      </c>
      <c r="E4" s="26" t="str">
        <f>_xlfn.IFS(D4&lt;=20, "Low Priced", D4&lt;=50, "Medium Priced",D4&gt;50,"High Priced")</f>
        <v>High Priced</v>
      </c>
      <c r="F4" s="26" t="str">
        <f t="shared" ref="F4:F12" si="0">_xlfn.IFS(Price_Category="High Priced", "Expensive", Price_Category="Medium Priced", "Fast Moving", Price_Category="Low Priced", "Affordable")</f>
        <v>Expensive</v>
      </c>
    </row>
    <row r="5" spans="2:6" x14ac:dyDescent="0.3">
      <c r="B5" s="36">
        <v>102</v>
      </c>
      <c r="C5" s="26" t="s">
        <v>46</v>
      </c>
      <c r="D5" s="41">
        <v>10</v>
      </c>
      <c r="E5" s="26" t="str">
        <f t="shared" ref="E5:E12" si="1">_xlfn.IFS(D5&lt;=20, "Low Priced", D5&lt;=50, "Medium Priced",D5&gt;50,"High Priced")</f>
        <v>Low Priced</v>
      </c>
      <c r="F5" s="26" t="str">
        <f t="shared" si="0"/>
        <v>Affordable</v>
      </c>
    </row>
    <row r="6" spans="2:6" x14ac:dyDescent="0.3">
      <c r="B6" s="36">
        <v>103</v>
      </c>
      <c r="C6" s="26" t="s">
        <v>47</v>
      </c>
      <c r="D6" s="41">
        <v>60</v>
      </c>
      <c r="E6" s="26" t="str">
        <f t="shared" si="1"/>
        <v>High Priced</v>
      </c>
      <c r="F6" s="26" t="str">
        <f t="shared" si="0"/>
        <v>Expensive</v>
      </c>
    </row>
    <row r="7" spans="2:6" x14ac:dyDescent="0.3">
      <c r="B7" s="36">
        <v>104</v>
      </c>
      <c r="C7" s="26" t="s">
        <v>48</v>
      </c>
      <c r="D7" s="41">
        <v>12</v>
      </c>
      <c r="E7" s="26" t="str">
        <f t="shared" si="1"/>
        <v>Low Priced</v>
      </c>
      <c r="F7" s="26" t="str">
        <f t="shared" si="0"/>
        <v>Affordable</v>
      </c>
    </row>
    <row r="8" spans="2:6" x14ac:dyDescent="0.3">
      <c r="B8" s="36">
        <v>105</v>
      </c>
      <c r="C8" s="26" t="s">
        <v>49</v>
      </c>
      <c r="D8" s="41">
        <v>20</v>
      </c>
      <c r="E8" s="26" t="str">
        <f t="shared" si="1"/>
        <v>Low Priced</v>
      </c>
      <c r="F8" s="26" t="str">
        <f t="shared" si="0"/>
        <v>Affordable</v>
      </c>
    </row>
    <row r="9" spans="2:6" x14ac:dyDescent="0.3">
      <c r="B9" s="36">
        <v>106</v>
      </c>
      <c r="C9" s="26" t="s">
        <v>50</v>
      </c>
      <c r="D9" s="41">
        <v>25</v>
      </c>
      <c r="E9" s="26" t="str">
        <f t="shared" si="1"/>
        <v>Medium Priced</v>
      </c>
      <c r="F9" s="26" t="str">
        <f t="shared" si="0"/>
        <v>Fast Moving</v>
      </c>
    </row>
    <row r="10" spans="2:6" x14ac:dyDescent="0.3">
      <c r="B10" s="36">
        <v>107</v>
      </c>
      <c r="C10" s="26" t="s">
        <v>51</v>
      </c>
      <c r="D10" s="41">
        <v>20</v>
      </c>
      <c r="E10" s="26" t="str">
        <f t="shared" si="1"/>
        <v>Low Priced</v>
      </c>
      <c r="F10" s="26" t="str">
        <f t="shared" si="0"/>
        <v>Affordable</v>
      </c>
    </row>
    <row r="11" spans="2:6" x14ac:dyDescent="0.3">
      <c r="B11" s="36">
        <v>108</v>
      </c>
      <c r="C11" s="26" t="s">
        <v>52</v>
      </c>
      <c r="D11" s="41">
        <v>23</v>
      </c>
      <c r="E11" s="26" t="str">
        <f t="shared" si="1"/>
        <v>Medium Priced</v>
      </c>
      <c r="F11" s="26" t="str">
        <f t="shared" si="0"/>
        <v>Fast Moving</v>
      </c>
    </row>
    <row r="12" spans="2:6" ht="16.2" thickBot="1" x14ac:dyDescent="0.35">
      <c r="B12" s="37">
        <v>109</v>
      </c>
      <c r="C12" s="38" t="s">
        <v>53</v>
      </c>
      <c r="D12" s="42">
        <v>23</v>
      </c>
      <c r="E12" s="26" t="str">
        <f t="shared" si="1"/>
        <v>Medium Priced</v>
      </c>
      <c r="F12" s="26" t="str">
        <f t="shared" si="0"/>
        <v>Fast Moving</v>
      </c>
    </row>
    <row r="16" spans="2:6" x14ac:dyDescent="0.3">
      <c r="D16" s="35" t="s">
        <v>97</v>
      </c>
    </row>
    <row r="17" spans="4:5" x14ac:dyDescent="0.3">
      <c r="D17" s="35" t="s">
        <v>98</v>
      </c>
    </row>
    <row r="18" spans="4:5" x14ac:dyDescent="0.3">
      <c r="D18" s="35" t="s">
        <v>99</v>
      </c>
    </row>
    <row r="19" spans="4:5" x14ac:dyDescent="0.3">
      <c r="E19" s="35" t="s">
        <v>100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B625-C07D-41F1-9954-5EB246C48144}">
  <dimension ref="B2:N96"/>
  <sheetViews>
    <sheetView zoomScaleNormal="100" workbookViewId="0">
      <selection activeCell="J9" sqref="J9"/>
    </sheetView>
  </sheetViews>
  <sheetFormatPr defaultColWidth="8.77734375" defaultRowHeight="15.6" x14ac:dyDescent="0.3"/>
  <cols>
    <col min="1" max="1" width="9.109375" style="30"/>
    <col min="2" max="2" width="15.44140625" style="30" customWidth="1"/>
    <col min="3" max="5" width="9.109375" style="30"/>
    <col min="6" max="6" width="14.33203125" style="30" customWidth="1"/>
    <col min="7" max="7" width="15.88671875" style="30" customWidth="1"/>
    <col min="8" max="8" width="16.6640625" style="30" customWidth="1"/>
    <col min="9" max="9" width="13.77734375" style="30" bestFit="1" customWidth="1"/>
    <col min="10" max="255" width="9.109375" style="30"/>
    <col min="256" max="256" width="10.44140625" style="30" customWidth="1"/>
    <col min="257" max="257" width="15.44140625" style="30" customWidth="1"/>
    <col min="258" max="260" width="9.109375" style="30"/>
    <col min="261" max="261" width="14.33203125" style="30" customWidth="1"/>
    <col min="262" max="264" width="9.109375" style="30"/>
    <col min="265" max="265" width="13.77734375" style="30" bestFit="1" customWidth="1"/>
    <col min="266" max="511" width="9.109375" style="30"/>
    <col min="512" max="512" width="10.44140625" style="30" customWidth="1"/>
    <col min="513" max="513" width="15.44140625" style="30" customWidth="1"/>
    <col min="514" max="516" width="9.109375" style="30"/>
    <col min="517" max="517" width="14.33203125" style="30" customWidth="1"/>
    <col min="518" max="520" width="9.109375" style="30"/>
    <col min="521" max="521" width="13.77734375" style="30" bestFit="1" customWidth="1"/>
    <col min="522" max="767" width="9.109375" style="30"/>
    <col min="768" max="768" width="10.44140625" style="30" customWidth="1"/>
    <col min="769" max="769" width="15.44140625" style="30" customWidth="1"/>
    <col min="770" max="772" width="9.109375" style="30"/>
    <col min="773" max="773" width="14.33203125" style="30" customWidth="1"/>
    <col min="774" max="776" width="9.109375" style="30"/>
    <col min="777" max="777" width="13.77734375" style="30" bestFit="1" customWidth="1"/>
    <col min="778" max="1023" width="9.109375" style="30"/>
    <col min="1024" max="1024" width="10.44140625" style="30" customWidth="1"/>
    <col min="1025" max="1025" width="15.44140625" style="30" customWidth="1"/>
    <col min="1026" max="1028" width="9.109375" style="30"/>
    <col min="1029" max="1029" width="14.33203125" style="30" customWidth="1"/>
    <col min="1030" max="1032" width="9.109375" style="30"/>
    <col min="1033" max="1033" width="13.77734375" style="30" bestFit="1" customWidth="1"/>
    <col min="1034" max="1279" width="9.109375" style="30"/>
    <col min="1280" max="1280" width="10.44140625" style="30" customWidth="1"/>
    <col min="1281" max="1281" width="15.44140625" style="30" customWidth="1"/>
    <col min="1282" max="1284" width="9.109375" style="30"/>
    <col min="1285" max="1285" width="14.33203125" style="30" customWidth="1"/>
    <col min="1286" max="1288" width="9.109375" style="30"/>
    <col min="1289" max="1289" width="13.77734375" style="30" bestFit="1" customWidth="1"/>
    <col min="1290" max="1535" width="9.109375" style="30"/>
    <col min="1536" max="1536" width="10.44140625" style="30" customWidth="1"/>
    <col min="1537" max="1537" width="15.44140625" style="30" customWidth="1"/>
    <col min="1538" max="1540" width="9.109375" style="30"/>
    <col min="1541" max="1541" width="14.33203125" style="30" customWidth="1"/>
    <col min="1542" max="1544" width="9.109375" style="30"/>
    <col min="1545" max="1545" width="13.77734375" style="30" bestFit="1" customWidth="1"/>
    <col min="1546" max="1791" width="9.109375" style="30"/>
    <col min="1792" max="1792" width="10.44140625" style="30" customWidth="1"/>
    <col min="1793" max="1793" width="15.44140625" style="30" customWidth="1"/>
    <col min="1794" max="1796" width="9.109375" style="30"/>
    <col min="1797" max="1797" width="14.33203125" style="30" customWidth="1"/>
    <col min="1798" max="1800" width="9.109375" style="30"/>
    <col min="1801" max="1801" width="13.77734375" style="30" bestFit="1" customWidth="1"/>
    <col min="1802" max="2047" width="9.109375" style="30"/>
    <col min="2048" max="2048" width="10.44140625" style="30" customWidth="1"/>
    <col min="2049" max="2049" width="15.44140625" style="30" customWidth="1"/>
    <col min="2050" max="2052" width="9.109375" style="30"/>
    <col min="2053" max="2053" width="14.33203125" style="30" customWidth="1"/>
    <col min="2054" max="2056" width="9.109375" style="30"/>
    <col min="2057" max="2057" width="13.77734375" style="30" bestFit="1" customWidth="1"/>
    <col min="2058" max="2303" width="9.109375" style="30"/>
    <col min="2304" max="2304" width="10.44140625" style="30" customWidth="1"/>
    <col min="2305" max="2305" width="15.44140625" style="30" customWidth="1"/>
    <col min="2306" max="2308" width="9.109375" style="30"/>
    <col min="2309" max="2309" width="14.33203125" style="30" customWidth="1"/>
    <col min="2310" max="2312" width="9.109375" style="30"/>
    <col min="2313" max="2313" width="13.77734375" style="30" bestFit="1" customWidth="1"/>
    <col min="2314" max="2559" width="9.109375" style="30"/>
    <col min="2560" max="2560" width="10.44140625" style="30" customWidth="1"/>
    <col min="2561" max="2561" width="15.44140625" style="30" customWidth="1"/>
    <col min="2562" max="2564" width="9.109375" style="30"/>
    <col min="2565" max="2565" width="14.33203125" style="30" customWidth="1"/>
    <col min="2566" max="2568" width="9.109375" style="30"/>
    <col min="2569" max="2569" width="13.77734375" style="30" bestFit="1" customWidth="1"/>
    <col min="2570" max="2815" width="9.109375" style="30"/>
    <col min="2816" max="2816" width="10.44140625" style="30" customWidth="1"/>
    <col min="2817" max="2817" width="15.44140625" style="30" customWidth="1"/>
    <col min="2818" max="2820" width="9.109375" style="30"/>
    <col min="2821" max="2821" width="14.33203125" style="30" customWidth="1"/>
    <col min="2822" max="2824" width="9.109375" style="30"/>
    <col min="2825" max="2825" width="13.77734375" style="30" bestFit="1" customWidth="1"/>
    <col min="2826" max="3071" width="9.109375" style="30"/>
    <col min="3072" max="3072" width="10.44140625" style="30" customWidth="1"/>
    <col min="3073" max="3073" width="15.44140625" style="30" customWidth="1"/>
    <col min="3074" max="3076" width="9.109375" style="30"/>
    <col min="3077" max="3077" width="14.33203125" style="30" customWidth="1"/>
    <col min="3078" max="3080" width="9.109375" style="30"/>
    <col min="3081" max="3081" width="13.77734375" style="30" bestFit="1" customWidth="1"/>
    <col min="3082" max="3327" width="9.109375" style="30"/>
    <col min="3328" max="3328" width="10.44140625" style="30" customWidth="1"/>
    <col min="3329" max="3329" width="15.44140625" style="30" customWidth="1"/>
    <col min="3330" max="3332" width="9.109375" style="30"/>
    <col min="3333" max="3333" width="14.33203125" style="30" customWidth="1"/>
    <col min="3334" max="3336" width="9.109375" style="30"/>
    <col min="3337" max="3337" width="13.77734375" style="30" bestFit="1" customWidth="1"/>
    <col min="3338" max="3583" width="9.109375" style="30"/>
    <col min="3584" max="3584" width="10.44140625" style="30" customWidth="1"/>
    <col min="3585" max="3585" width="15.44140625" style="30" customWidth="1"/>
    <col min="3586" max="3588" width="9.109375" style="30"/>
    <col min="3589" max="3589" width="14.33203125" style="30" customWidth="1"/>
    <col min="3590" max="3592" width="9.109375" style="30"/>
    <col min="3593" max="3593" width="13.77734375" style="30" bestFit="1" customWidth="1"/>
    <col min="3594" max="3839" width="9.109375" style="30"/>
    <col min="3840" max="3840" width="10.44140625" style="30" customWidth="1"/>
    <col min="3841" max="3841" width="15.44140625" style="30" customWidth="1"/>
    <col min="3842" max="3844" width="9.109375" style="30"/>
    <col min="3845" max="3845" width="14.33203125" style="30" customWidth="1"/>
    <col min="3846" max="3848" width="9.109375" style="30"/>
    <col min="3849" max="3849" width="13.77734375" style="30" bestFit="1" customWidth="1"/>
    <col min="3850" max="4095" width="9.109375" style="30"/>
    <col min="4096" max="4096" width="10.44140625" style="30" customWidth="1"/>
    <col min="4097" max="4097" width="15.44140625" style="30" customWidth="1"/>
    <col min="4098" max="4100" width="9.109375" style="30"/>
    <col min="4101" max="4101" width="14.33203125" style="30" customWidth="1"/>
    <col min="4102" max="4104" width="9.109375" style="30"/>
    <col min="4105" max="4105" width="13.77734375" style="30" bestFit="1" customWidth="1"/>
    <col min="4106" max="4351" width="9.109375" style="30"/>
    <col min="4352" max="4352" width="10.44140625" style="30" customWidth="1"/>
    <col min="4353" max="4353" width="15.44140625" style="30" customWidth="1"/>
    <col min="4354" max="4356" width="9.109375" style="30"/>
    <col min="4357" max="4357" width="14.33203125" style="30" customWidth="1"/>
    <col min="4358" max="4360" width="9.109375" style="30"/>
    <col min="4361" max="4361" width="13.77734375" style="30" bestFit="1" customWidth="1"/>
    <col min="4362" max="4607" width="9.109375" style="30"/>
    <col min="4608" max="4608" width="10.44140625" style="30" customWidth="1"/>
    <col min="4609" max="4609" width="15.44140625" style="30" customWidth="1"/>
    <col min="4610" max="4612" width="9.109375" style="30"/>
    <col min="4613" max="4613" width="14.33203125" style="30" customWidth="1"/>
    <col min="4614" max="4616" width="9.109375" style="30"/>
    <col min="4617" max="4617" width="13.77734375" style="30" bestFit="1" customWidth="1"/>
    <col min="4618" max="4863" width="9.109375" style="30"/>
    <col min="4864" max="4864" width="10.44140625" style="30" customWidth="1"/>
    <col min="4865" max="4865" width="15.44140625" style="30" customWidth="1"/>
    <col min="4866" max="4868" width="9.109375" style="30"/>
    <col min="4869" max="4869" width="14.33203125" style="30" customWidth="1"/>
    <col min="4870" max="4872" width="9.109375" style="30"/>
    <col min="4873" max="4873" width="13.77734375" style="30" bestFit="1" customWidth="1"/>
    <col min="4874" max="5119" width="9.109375" style="30"/>
    <col min="5120" max="5120" width="10.44140625" style="30" customWidth="1"/>
    <col min="5121" max="5121" width="15.44140625" style="30" customWidth="1"/>
    <col min="5122" max="5124" width="9.109375" style="30"/>
    <col min="5125" max="5125" width="14.33203125" style="30" customWidth="1"/>
    <col min="5126" max="5128" width="9.109375" style="30"/>
    <col min="5129" max="5129" width="13.77734375" style="30" bestFit="1" customWidth="1"/>
    <col min="5130" max="5375" width="9.109375" style="30"/>
    <col min="5376" max="5376" width="10.44140625" style="30" customWidth="1"/>
    <col min="5377" max="5377" width="15.44140625" style="30" customWidth="1"/>
    <col min="5378" max="5380" width="9.109375" style="30"/>
    <col min="5381" max="5381" width="14.33203125" style="30" customWidth="1"/>
    <col min="5382" max="5384" width="9.109375" style="30"/>
    <col min="5385" max="5385" width="13.77734375" style="30" bestFit="1" customWidth="1"/>
    <col min="5386" max="5631" width="9.109375" style="30"/>
    <col min="5632" max="5632" width="10.44140625" style="30" customWidth="1"/>
    <col min="5633" max="5633" width="15.44140625" style="30" customWidth="1"/>
    <col min="5634" max="5636" width="9.109375" style="30"/>
    <col min="5637" max="5637" width="14.33203125" style="30" customWidth="1"/>
    <col min="5638" max="5640" width="9.109375" style="30"/>
    <col min="5641" max="5641" width="13.77734375" style="30" bestFit="1" customWidth="1"/>
    <col min="5642" max="5887" width="9.109375" style="30"/>
    <col min="5888" max="5888" width="10.44140625" style="30" customWidth="1"/>
    <col min="5889" max="5889" width="15.44140625" style="30" customWidth="1"/>
    <col min="5890" max="5892" width="9.109375" style="30"/>
    <col min="5893" max="5893" width="14.33203125" style="30" customWidth="1"/>
    <col min="5894" max="5896" width="9.109375" style="30"/>
    <col min="5897" max="5897" width="13.77734375" style="30" bestFit="1" customWidth="1"/>
    <col min="5898" max="6143" width="9.109375" style="30"/>
    <col min="6144" max="6144" width="10.44140625" style="30" customWidth="1"/>
    <col min="6145" max="6145" width="15.44140625" style="30" customWidth="1"/>
    <col min="6146" max="6148" width="9.109375" style="30"/>
    <col min="6149" max="6149" width="14.33203125" style="30" customWidth="1"/>
    <col min="6150" max="6152" width="9.109375" style="30"/>
    <col min="6153" max="6153" width="13.77734375" style="30" bestFit="1" customWidth="1"/>
    <col min="6154" max="6399" width="9.109375" style="30"/>
    <col min="6400" max="6400" width="10.44140625" style="30" customWidth="1"/>
    <col min="6401" max="6401" width="15.44140625" style="30" customWidth="1"/>
    <col min="6402" max="6404" width="9.109375" style="30"/>
    <col min="6405" max="6405" width="14.33203125" style="30" customWidth="1"/>
    <col min="6406" max="6408" width="9.109375" style="30"/>
    <col min="6409" max="6409" width="13.77734375" style="30" bestFit="1" customWidth="1"/>
    <col min="6410" max="6655" width="9.109375" style="30"/>
    <col min="6656" max="6656" width="10.44140625" style="30" customWidth="1"/>
    <col min="6657" max="6657" width="15.44140625" style="30" customWidth="1"/>
    <col min="6658" max="6660" width="9.109375" style="30"/>
    <col min="6661" max="6661" width="14.33203125" style="30" customWidth="1"/>
    <col min="6662" max="6664" width="9.109375" style="30"/>
    <col min="6665" max="6665" width="13.77734375" style="30" bestFit="1" customWidth="1"/>
    <col min="6666" max="6911" width="9.109375" style="30"/>
    <col min="6912" max="6912" width="10.44140625" style="30" customWidth="1"/>
    <col min="6913" max="6913" width="15.44140625" style="30" customWidth="1"/>
    <col min="6914" max="6916" width="9.109375" style="30"/>
    <col min="6917" max="6917" width="14.33203125" style="30" customWidth="1"/>
    <col min="6918" max="6920" width="9.109375" style="30"/>
    <col min="6921" max="6921" width="13.77734375" style="30" bestFit="1" customWidth="1"/>
    <col min="6922" max="7167" width="9.109375" style="30"/>
    <col min="7168" max="7168" width="10.44140625" style="30" customWidth="1"/>
    <col min="7169" max="7169" width="15.44140625" style="30" customWidth="1"/>
    <col min="7170" max="7172" width="9.109375" style="30"/>
    <col min="7173" max="7173" width="14.33203125" style="30" customWidth="1"/>
    <col min="7174" max="7176" width="9.109375" style="30"/>
    <col min="7177" max="7177" width="13.77734375" style="30" bestFit="1" customWidth="1"/>
    <col min="7178" max="7423" width="9.109375" style="30"/>
    <col min="7424" max="7424" width="10.44140625" style="30" customWidth="1"/>
    <col min="7425" max="7425" width="15.44140625" style="30" customWidth="1"/>
    <col min="7426" max="7428" width="9.109375" style="30"/>
    <col min="7429" max="7429" width="14.33203125" style="30" customWidth="1"/>
    <col min="7430" max="7432" width="9.109375" style="30"/>
    <col min="7433" max="7433" width="13.77734375" style="30" bestFit="1" customWidth="1"/>
    <col min="7434" max="7679" width="9.109375" style="30"/>
    <col min="7680" max="7680" width="10.44140625" style="30" customWidth="1"/>
    <col min="7681" max="7681" width="15.44140625" style="30" customWidth="1"/>
    <col min="7682" max="7684" width="9.109375" style="30"/>
    <col min="7685" max="7685" width="14.33203125" style="30" customWidth="1"/>
    <col min="7686" max="7688" width="9.109375" style="30"/>
    <col min="7689" max="7689" width="13.77734375" style="30" bestFit="1" customWidth="1"/>
    <col min="7690" max="7935" width="9.109375" style="30"/>
    <col min="7936" max="7936" width="10.44140625" style="30" customWidth="1"/>
    <col min="7937" max="7937" width="15.44140625" style="30" customWidth="1"/>
    <col min="7938" max="7940" width="9.109375" style="30"/>
    <col min="7941" max="7941" width="14.33203125" style="30" customWidth="1"/>
    <col min="7942" max="7944" width="9.109375" style="30"/>
    <col min="7945" max="7945" width="13.77734375" style="30" bestFit="1" customWidth="1"/>
    <col min="7946" max="8191" width="9.109375" style="30"/>
    <col min="8192" max="8192" width="10.44140625" style="30" customWidth="1"/>
    <col min="8193" max="8193" width="15.44140625" style="30" customWidth="1"/>
    <col min="8194" max="8196" width="9.109375" style="30"/>
    <col min="8197" max="8197" width="14.33203125" style="30" customWidth="1"/>
    <col min="8198" max="8200" width="9.109375" style="30"/>
    <col min="8201" max="8201" width="13.77734375" style="30" bestFit="1" customWidth="1"/>
    <col min="8202" max="8447" width="9.109375" style="30"/>
    <col min="8448" max="8448" width="10.44140625" style="30" customWidth="1"/>
    <col min="8449" max="8449" width="15.44140625" style="30" customWidth="1"/>
    <col min="8450" max="8452" width="9.109375" style="30"/>
    <col min="8453" max="8453" width="14.33203125" style="30" customWidth="1"/>
    <col min="8454" max="8456" width="9.109375" style="30"/>
    <col min="8457" max="8457" width="13.77734375" style="30" bestFit="1" customWidth="1"/>
    <col min="8458" max="8703" width="9.109375" style="30"/>
    <col min="8704" max="8704" width="10.44140625" style="30" customWidth="1"/>
    <col min="8705" max="8705" width="15.44140625" style="30" customWidth="1"/>
    <col min="8706" max="8708" width="9.109375" style="30"/>
    <col min="8709" max="8709" width="14.33203125" style="30" customWidth="1"/>
    <col min="8710" max="8712" width="9.109375" style="30"/>
    <col min="8713" max="8713" width="13.77734375" style="30" bestFit="1" customWidth="1"/>
    <col min="8714" max="8959" width="9.109375" style="30"/>
    <col min="8960" max="8960" width="10.44140625" style="30" customWidth="1"/>
    <col min="8961" max="8961" width="15.44140625" style="30" customWidth="1"/>
    <col min="8962" max="8964" width="9.109375" style="30"/>
    <col min="8965" max="8965" width="14.33203125" style="30" customWidth="1"/>
    <col min="8966" max="8968" width="9.109375" style="30"/>
    <col min="8969" max="8969" width="13.77734375" style="30" bestFit="1" customWidth="1"/>
    <col min="8970" max="9215" width="9.109375" style="30"/>
    <col min="9216" max="9216" width="10.44140625" style="30" customWidth="1"/>
    <col min="9217" max="9217" width="15.44140625" style="30" customWidth="1"/>
    <col min="9218" max="9220" width="9.109375" style="30"/>
    <col min="9221" max="9221" width="14.33203125" style="30" customWidth="1"/>
    <col min="9222" max="9224" width="9.109375" style="30"/>
    <col min="9225" max="9225" width="13.77734375" style="30" bestFit="1" customWidth="1"/>
    <col min="9226" max="9471" width="9.109375" style="30"/>
    <col min="9472" max="9472" width="10.44140625" style="30" customWidth="1"/>
    <col min="9473" max="9473" width="15.44140625" style="30" customWidth="1"/>
    <col min="9474" max="9476" width="9.109375" style="30"/>
    <col min="9477" max="9477" width="14.33203125" style="30" customWidth="1"/>
    <col min="9478" max="9480" width="9.109375" style="30"/>
    <col min="9481" max="9481" width="13.77734375" style="30" bestFit="1" customWidth="1"/>
    <col min="9482" max="9727" width="9.109375" style="30"/>
    <col min="9728" max="9728" width="10.44140625" style="30" customWidth="1"/>
    <col min="9729" max="9729" width="15.44140625" style="30" customWidth="1"/>
    <col min="9730" max="9732" width="9.109375" style="30"/>
    <col min="9733" max="9733" width="14.33203125" style="30" customWidth="1"/>
    <col min="9734" max="9736" width="9.109375" style="30"/>
    <col min="9737" max="9737" width="13.77734375" style="30" bestFit="1" customWidth="1"/>
    <col min="9738" max="9983" width="9.109375" style="30"/>
    <col min="9984" max="9984" width="10.44140625" style="30" customWidth="1"/>
    <col min="9985" max="9985" width="15.44140625" style="30" customWidth="1"/>
    <col min="9986" max="9988" width="9.109375" style="30"/>
    <col min="9989" max="9989" width="14.33203125" style="30" customWidth="1"/>
    <col min="9990" max="9992" width="9.109375" style="30"/>
    <col min="9993" max="9993" width="13.77734375" style="30" bestFit="1" customWidth="1"/>
    <col min="9994" max="10239" width="9.109375" style="30"/>
    <col min="10240" max="10240" width="10.44140625" style="30" customWidth="1"/>
    <col min="10241" max="10241" width="15.44140625" style="30" customWidth="1"/>
    <col min="10242" max="10244" width="9.109375" style="30"/>
    <col min="10245" max="10245" width="14.33203125" style="30" customWidth="1"/>
    <col min="10246" max="10248" width="9.109375" style="30"/>
    <col min="10249" max="10249" width="13.77734375" style="30" bestFit="1" customWidth="1"/>
    <col min="10250" max="10495" width="9.109375" style="30"/>
    <col min="10496" max="10496" width="10.44140625" style="30" customWidth="1"/>
    <col min="10497" max="10497" width="15.44140625" style="30" customWidth="1"/>
    <col min="10498" max="10500" width="9.109375" style="30"/>
    <col min="10501" max="10501" width="14.33203125" style="30" customWidth="1"/>
    <col min="10502" max="10504" width="9.109375" style="30"/>
    <col min="10505" max="10505" width="13.77734375" style="30" bestFit="1" customWidth="1"/>
    <col min="10506" max="10751" width="9.109375" style="30"/>
    <col min="10752" max="10752" width="10.44140625" style="30" customWidth="1"/>
    <col min="10753" max="10753" width="15.44140625" style="30" customWidth="1"/>
    <col min="10754" max="10756" width="9.109375" style="30"/>
    <col min="10757" max="10757" width="14.33203125" style="30" customWidth="1"/>
    <col min="10758" max="10760" width="9.109375" style="30"/>
    <col min="10761" max="10761" width="13.77734375" style="30" bestFit="1" customWidth="1"/>
    <col min="10762" max="11007" width="9.109375" style="30"/>
    <col min="11008" max="11008" width="10.44140625" style="30" customWidth="1"/>
    <col min="11009" max="11009" width="15.44140625" style="30" customWidth="1"/>
    <col min="11010" max="11012" width="9.109375" style="30"/>
    <col min="11013" max="11013" width="14.33203125" style="30" customWidth="1"/>
    <col min="11014" max="11016" width="9.109375" style="30"/>
    <col min="11017" max="11017" width="13.77734375" style="30" bestFit="1" customWidth="1"/>
    <col min="11018" max="11263" width="9.109375" style="30"/>
    <col min="11264" max="11264" width="10.44140625" style="30" customWidth="1"/>
    <col min="11265" max="11265" width="15.44140625" style="30" customWidth="1"/>
    <col min="11266" max="11268" width="9.109375" style="30"/>
    <col min="11269" max="11269" width="14.33203125" style="30" customWidth="1"/>
    <col min="11270" max="11272" width="9.109375" style="30"/>
    <col min="11273" max="11273" width="13.77734375" style="30" bestFit="1" customWidth="1"/>
    <col min="11274" max="11519" width="9.109375" style="30"/>
    <col min="11520" max="11520" width="10.44140625" style="30" customWidth="1"/>
    <col min="11521" max="11521" width="15.44140625" style="30" customWidth="1"/>
    <col min="11522" max="11524" width="9.109375" style="30"/>
    <col min="11525" max="11525" width="14.33203125" style="30" customWidth="1"/>
    <col min="11526" max="11528" width="9.109375" style="30"/>
    <col min="11529" max="11529" width="13.77734375" style="30" bestFit="1" customWidth="1"/>
    <col min="11530" max="11775" width="9.109375" style="30"/>
    <col min="11776" max="11776" width="10.44140625" style="30" customWidth="1"/>
    <col min="11777" max="11777" width="15.44140625" style="30" customWidth="1"/>
    <col min="11778" max="11780" width="9.109375" style="30"/>
    <col min="11781" max="11781" width="14.33203125" style="30" customWidth="1"/>
    <col min="11782" max="11784" width="9.109375" style="30"/>
    <col min="11785" max="11785" width="13.77734375" style="30" bestFit="1" customWidth="1"/>
    <col min="11786" max="12031" width="9.109375" style="30"/>
    <col min="12032" max="12032" width="10.44140625" style="30" customWidth="1"/>
    <col min="12033" max="12033" width="15.44140625" style="30" customWidth="1"/>
    <col min="12034" max="12036" width="9.109375" style="30"/>
    <col min="12037" max="12037" width="14.33203125" style="30" customWidth="1"/>
    <col min="12038" max="12040" width="9.109375" style="30"/>
    <col min="12041" max="12041" width="13.77734375" style="30" bestFit="1" customWidth="1"/>
    <col min="12042" max="12287" width="9.109375" style="30"/>
    <col min="12288" max="12288" width="10.44140625" style="30" customWidth="1"/>
    <col min="12289" max="12289" width="15.44140625" style="30" customWidth="1"/>
    <col min="12290" max="12292" width="9.109375" style="30"/>
    <col min="12293" max="12293" width="14.33203125" style="30" customWidth="1"/>
    <col min="12294" max="12296" width="9.109375" style="30"/>
    <col min="12297" max="12297" width="13.77734375" style="30" bestFit="1" customWidth="1"/>
    <col min="12298" max="12543" width="9.109375" style="30"/>
    <col min="12544" max="12544" width="10.44140625" style="30" customWidth="1"/>
    <col min="12545" max="12545" width="15.44140625" style="30" customWidth="1"/>
    <col min="12546" max="12548" width="9.109375" style="30"/>
    <col min="12549" max="12549" width="14.33203125" style="30" customWidth="1"/>
    <col min="12550" max="12552" width="9.109375" style="30"/>
    <col min="12553" max="12553" width="13.77734375" style="30" bestFit="1" customWidth="1"/>
    <col min="12554" max="12799" width="9.109375" style="30"/>
    <col min="12800" max="12800" width="10.44140625" style="30" customWidth="1"/>
    <col min="12801" max="12801" width="15.44140625" style="30" customWidth="1"/>
    <col min="12802" max="12804" width="9.109375" style="30"/>
    <col min="12805" max="12805" width="14.33203125" style="30" customWidth="1"/>
    <col min="12806" max="12808" width="9.109375" style="30"/>
    <col min="12809" max="12809" width="13.77734375" style="30" bestFit="1" customWidth="1"/>
    <col min="12810" max="13055" width="9.109375" style="30"/>
    <col min="13056" max="13056" width="10.44140625" style="30" customWidth="1"/>
    <col min="13057" max="13057" width="15.44140625" style="30" customWidth="1"/>
    <col min="13058" max="13060" width="9.109375" style="30"/>
    <col min="13061" max="13061" width="14.33203125" style="30" customWidth="1"/>
    <col min="13062" max="13064" width="9.109375" style="30"/>
    <col min="13065" max="13065" width="13.77734375" style="30" bestFit="1" customWidth="1"/>
    <col min="13066" max="13311" width="9.109375" style="30"/>
    <col min="13312" max="13312" width="10.44140625" style="30" customWidth="1"/>
    <col min="13313" max="13313" width="15.44140625" style="30" customWidth="1"/>
    <col min="13314" max="13316" width="9.109375" style="30"/>
    <col min="13317" max="13317" width="14.33203125" style="30" customWidth="1"/>
    <col min="13318" max="13320" width="9.109375" style="30"/>
    <col min="13321" max="13321" width="13.77734375" style="30" bestFit="1" customWidth="1"/>
    <col min="13322" max="13567" width="9.109375" style="30"/>
    <col min="13568" max="13568" width="10.44140625" style="30" customWidth="1"/>
    <col min="13569" max="13569" width="15.44140625" style="30" customWidth="1"/>
    <col min="13570" max="13572" width="9.109375" style="30"/>
    <col min="13573" max="13573" width="14.33203125" style="30" customWidth="1"/>
    <col min="13574" max="13576" width="9.109375" style="30"/>
    <col min="13577" max="13577" width="13.77734375" style="30" bestFit="1" customWidth="1"/>
    <col min="13578" max="13823" width="9.109375" style="30"/>
    <col min="13824" max="13824" width="10.44140625" style="30" customWidth="1"/>
    <col min="13825" max="13825" width="15.44140625" style="30" customWidth="1"/>
    <col min="13826" max="13828" width="9.109375" style="30"/>
    <col min="13829" max="13829" width="14.33203125" style="30" customWidth="1"/>
    <col min="13830" max="13832" width="9.109375" style="30"/>
    <col min="13833" max="13833" width="13.77734375" style="30" bestFit="1" customWidth="1"/>
    <col min="13834" max="14079" width="9.109375" style="30"/>
    <col min="14080" max="14080" width="10.44140625" style="30" customWidth="1"/>
    <col min="14081" max="14081" width="15.44140625" style="30" customWidth="1"/>
    <col min="14082" max="14084" width="9.109375" style="30"/>
    <col min="14085" max="14085" width="14.33203125" style="30" customWidth="1"/>
    <col min="14086" max="14088" width="9.109375" style="30"/>
    <col min="14089" max="14089" width="13.77734375" style="30" bestFit="1" customWidth="1"/>
    <col min="14090" max="14335" width="9.109375" style="30"/>
    <col min="14336" max="14336" width="10.44140625" style="30" customWidth="1"/>
    <col min="14337" max="14337" width="15.44140625" style="30" customWidth="1"/>
    <col min="14338" max="14340" width="9.109375" style="30"/>
    <col min="14341" max="14341" width="14.33203125" style="30" customWidth="1"/>
    <col min="14342" max="14344" width="9.109375" style="30"/>
    <col min="14345" max="14345" width="13.77734375" style="30" bestFit="1" customWidth="1"/>
    <col min="14346" max="14591" width="9.109375" style="30"/>
    <col min="14592" max="14592" width="10.44140625" style="30" customWidth="1"/>
    <col min="14593" max="14593" width="15.44140625" style="30" customWidth="1"/>
    <col min="14594" max="14596" width="9.109375" style="30"/>
    <col min="14597" max="14597" width="14.33203125" style="30" customWidth="1"/>
    <col min="14598" max="14600" width="9.109375" style="30"/>
    <col min="14601" max="14601" width="13.77734375" style="30" bestFit="1" customWidth="1"/>
    <col min="14602" max="14847" width="9.109375" style="30"/>
    <col min="14848" max="14848" width="10.44140625" style="30" customWidth="1"/>
    <col min="14849" max="14849" width="15.44140625" style="30" customWidth="1"/>
    <col min="14850" max="14852" width="9.109375" style="30"/>
    <col min="14853" max="14853" width="14.33203125" style="30" customWidth="1"/>
    <col min="14854" max="14856" width="9.109375" style="30"/>
    <col min="14857" max="14857" width="13.77734375" style="30" bestFit="1" customWidth="1"/>
    <col min="14858" max="15103" width="9.109375" style="30"/>
    <col min="15104" max="15104" width="10.44140625" style="30" customWidth="1"/>
    <col min="15105" max="15105" width="15.44140625" style="30" customWidth="1"/>
    <col min="15106" max="15108" width="9.109375" style="30"/>
    <col min="15109" max="15109" width="14.33203125" style="30" customWidth="1"/>
    <col min="15110" max="15112" width="9.109375" style="30"/>
    <col min="15113" max="15113" width="13.77734375" style="30" bestFit="1" customWidth="1"/>
    <col min="15114" max="15359" width="9.109375" style="30"/>
    <col min="15360" max="15360" width="10.44140625" style="30" customWidth="1"/>
    <col min="15361" max="15361" width="15.44140625" style="30" customWidth="1"/>
    <col min="15362" max="15364" width="9.109375" style="30"/>
    <col min="15365" max="15365" width="14.33203125" style="30" customWidth="1"/>
    <col min="15366" max="15368" width="9.109375" style="30"/>
    <col min="15369" max="15369" width="13.77734375" style="30" bestFit="1" customWidth="1"/>
    <col min="15370" max="15615" width="9.109375" style="30"/>
    <col min="15616" max="15616" width="10.44140625" style="30" customWidth="1"/>
    <col min="15617" max="15617" width="15.44140625" style="30" customWidth="1"/>
    <col min="15618" max="15620" width="9.109375" style="30"/>
    <col min="15621" max="15621" width="14.33203125" style="30" customWidth="1"/>
    <col min="15622" max="15624" width="9.109375" style="30"/>
    <col min="15625" max="15625" width="13.77734375" style="30" bestFit="1" customWidth="1"/>
    <col min="15626" max="15871" width="9.109375" style="30"/>
    <col min="15872" max="15872" width="10.44140625" style="30" customWidth="1"/>
    <col min="15873" max="15873" width="15.44140625" style="30" customWidth="1"/>
    <col min="15874" max="15876" width="9.109375" style="30"/>
    <col min="15877" max="15877" width="14.33203125" style="30" customWidth="1"/>
    <col min="15878" max="15880" width="9.109375" style="30"/>
    <col min="15881" max="15881" width="13.77734375" style="30" bestFit="1" customWidth="1"/>
    <col min="15882" max="16127" width="9.109375" style="30"/>
    <col min="16128" max="16128" width="10.44140625" style="30" customWidth="1"/>
    <col min="16129" max="16129" width="15.44140625" style="30" customWidth="1"/>
    <col min="16130" max="16132" width="9.109375" style="30"/>
    <col min="16133" max="16133" width="14.33203125" style="30" customWidth="1"/>
    <col min="16134" max="16136" width="9.109375" style="30"/>
    <col min="16137" max="16137" width="13.77734375" style="30" bestFit="1" customWidth="1"/>
    <col min="16138" max="16383" width="9.109375" style="30"/>
    <col min="16384" max="16384" width="9.109375" style="30" customWidth="1"/>
  </cols>
  <sheetData>
    <row r="2" spans="2:11" ht="16.2" thickBot="1" x14ac:dyDescent="0.35"/>
    <row r="3" spans="2:11" ht="31.2" x14ac:dyDescent="0.3">
      <c r="B3" s="11" t="s">
        <v>4</v>
      </c>
      <c r="C3" s="11" t="s">
        <v>6</v>
      </c>
      <c r="D3" s="11" t="s">
        <v>54</v>
      </c>
      <c r="E3" s="11" t="s">
        <v>55</v>
      </c>
      <c r="F3" s="11" t="s">
        <v>56</v>
      </c>
      <c r="G3" s="32" t="s">
        <v>19</v>
      </c>
      <c r="H3" s="11" t="s">
        <v>227</v>
      </c>
      <c r="J3" s="30" t="s">
        <v>101</v>
      </c>
    </row>
    <row r="4" spans="2:11" x14ac:dyDescent="0.3">
      <c r="B4" s="33" t="s">
        <v>49</v>
      </c>
      <c r="C4" s="43">
        <v>20</v>
      </c>
      <c r="D4" s="33">
        <v>10</v>
      </c>
      <c r="E4" s="33">
        <f>C4*D4</f>
        <v>200</v>
      </c>
      <c r="F4" s="15" t="s">
        <v>57</v>
      </c>
      <c r="G4" s="44">
        <v>44000</v>
      </c>
      <c r="H4" s="45">
        <f t="shared" ref="H4:H35" si="0">_xlfn.IFS(Salary&lt;30000, 12%, AND(Salary&gt;=30000, Salary&lt;40000), 17%, Salary&gt;=40000, 22%)</f>
        <v>0.22</v>
      </c>
      <c r="J4" s="30" t="s">
        <v>229</v>
      </c>
    </row>
    <row r="5" spans="2:11" x14ac:dyDescent="0.3">
      <c r="B5" s="33" t="s">
        <v>49</v>
      </c>
      <c r="C5" s="43">
        <v>20</v>
      </c>
      <c r="D5" s="33">
        <v>12</v>
      </c>
      <c r="E5" s="33">
        <f t="shared" ref="E5:E68" si="1">C5*D5</f>
        <v>240</v>
      </c>
      <c r="F5" s="15" t="s">
        <v>58</v>
      </c>
      <c r="G5" s="44">
        <v>44000</v>
      </c>
      <c r="H5" s="45">
        <f t="shared" si="0"/>
        <v>0.22</v>
      </c>
      <c r="J5" s="30" t="s">
        <v>230</v>
      </c>
    </row>
    <row r="6" spans="2:11" x14ac:dyDescent="0.3">
      <c r="B6" s="33" t="s">
        <v>49</v>
      </c>
      <c r="C6" s="43">
        <v>20</v>
      </c>
      <c r="D6" s="33">
        <v>45</v>
      </c>
      <c r="E6" s="33">
        <f t="shared" si="1"/>
        <v>900</v>
      </c>
      <c r="F6" s="15" t="s">
        <v>58</v>
      </c>
      <c r="G6" s="44">
        <v>44000</v>
      </c>
      <c r="H6" s="45">
        <f t="shared" si="0"/>
        <v>0.22</v>
      </c>
      <c r="J6" s="30" t="s">
        <v>231</v>
      </c>
    </row>
    <row r="7" spans="2:11" x14ac:dyDescent="0.3">
      <c r="B7" s="33" t="s">
        <v>49</v>
      </c>
      <c r="C7" s="43">
        <v>20</v>
      </c>
      <c r="D7" s="33">
        <v>67</v>
      </c>
      <c r="E7" s="33">
        <f t="shared" si="1"/>
        <v>1340</v>
      </c>
      <c r="F7" s="15" t="s">
        <v>59</v>
      </c>
      <c r="G7" s="44">
        <v>44000</v>
      </c>
      <c r="H7" s="45">
        <f t="shared" si="0"/>
        <v>0.22</v>
      </c>
    </row>
    <row r="8" spans="2:11" x14ac:dyDescent="0.3">
      <c r="B8" s="33" t="s">
        <v>49</v>
      </c>
      <c r="C8" s="43">
        <v>20</v>
      </c>
      <c r="D8" s="33">
        <v>2</v>
      </c>
      <c r="E8" s="33">
        <f t="shared" si="1"/>
        <v>40</v>
      </c>
      <c r="F8" s="15" t="s">
        <v>60</v>
      </c>
      <c r="G8" s="44">
        <v>38000</v>
      </c>
      <c r="H8" s="45">
        <f t="shared" si="0"/>
        <v>0.17</v>
      </c>
    </row>
    <row r="9" spans="2:11" x14ac:dyDescent="0.3">
      <c r="B9" s="33" t="s">
        <v>49</v>
      </c>
      <c r="C9" s="43">
        <v>20</v>
      </c>
      <c r="D9" s="33">
        <v>4</v>
      </c>
      <c r="E9" s="33">
        <f t="shared" si="1"/>
        <v>80</v>
      </c>
      <c r="F9" s="46" t="s">
        <v>61</v>
      </c>
      <c r="G9" s="44">
        <v>38000</v>
      </c>
      <c r="H9" s="45">
        <f t="shared" si="0"/>
        <v>0.17</v>
      </c>
    </row>
    <row r="10" spans="2:11" x14ac:dyDescent="0.3">
      <c r="B10" s="33" t="s">
        <v>49</v>
      </c>
      <c r="C10" s="43">
        <v>20</v>
      </c>
      <c r="D10" s="33">
        <v>78</v>
      </c>
      <c r="E10" s="33">
        <f t="shared" si="1"/>
        <v>1560</v>
      </c>
      <c r="F10" s="15" t="s">
        <v>62</v>
      </c>
      <c r="G10" s="44">
        <v>38000</v>
      </c>
      <c r="H10" s="45">
        <f t="shared" si="0"/>
        <v>0.17</v>
      </c>
    </row>
    <row r="11" spans="2:11" x14ac:dyDescent="0.3">
      <c r="B11" s="33" t="s">
        <v>49</v>
      </c>
      <c r="C11" s="43">
        <v>20</v>
      </c>
      <c r="D11" s="33">
        <v>89</v>
      </c>
      <c r="E11" s="33">
        <f t="shared" si="1"/>
        <v>1780</v>
      </c>
      <c r="F11" s="15" t="s">
        <v>63</v>
      </c>
      <c r="G11" s="44">
        <v>38000</v>
      </c>
      <c r="H11" s="45">
        <f t="shared" si="0"/>
        <v>0.17</v>
      </c>
    </row>
    <row r="12" spans="2:11" x14ac:dyDescent="0.3">
      <c r="B12" s="33" t="s">
        <v>49</v>
      </c>
      <c r="C12" s="43">
        <v>20</v>
      </c>
      <c r="D12" s="33">
        <v>34</v>
      </c>
      <c r="E12" s="33">
        <f t="shared" si="1"/>
        <v>680</v>
      </c>
      <c r="F12" s="15" t="s">
        <v>64</v>
      </c>
      <c r="G12" s="44">
        <v>33000</v>
      </c>
      <c r="H12" s="45">
        <f t="shared" si="0"/>
        <v>0.17</v>
      </c>
    </row>
    <row r="13" spans="2:11" x14ac:dyDescent="0.3">
      <c r="B13" s="33" t="s">
        <v>50</v>
      </c>
      <c r="C13" s="43">
        <v>25</v>
      </c>
      <c r="D13" s="33">
        <v>34</v>
      </c>
      <c r="E13" s="33">
        <f t="shared" si="1"/>
        <v>850</v>
      </c>
      <c r="F13" s="15" t="s">
        <v>65</v>
      </c>
      <c r="G13" s="44">
        <v>44000</v>
      </c>
      <c r="H13" s="45">
        <f t="shared" si="0"/>
        <v>0.22</v>
      </c>
      <c r="K13" s="59"/>
    </row>
    <row r="14" spans="2:11" x14ac:dyDescent="0.3">
      <c r="B14" s="33" t="s">
        <v>50</v>
      </c>
      <c r="C14" s="43">
        <v>25</v>
      </c>
      <c r="D14" s="33">
        <v>54</v>
      </c>
      <c r="E14" s="33">
        <f t="shared" si="1"/>
        <v>1350</v>
      </c>
      <c r="F14" s="15" t="s">
        <v>66</v>
      </c>
      <c r="G14" s="44">
        <v>44000</v>
      </c>
      <c r="H14" s="45">
        <f t="shared" si="0"/>
        <v>0.22</v>
      </c>
      <c r="K14" s="59"/>
    </row>
    <row r="15" spans="2:11" x14ac:dyDescent="0.3">
      <c r="B15" s="33" t="s">
        <v>50</v>
      </c>
      <c r="C15" s="43">
        <v>25</v>
      </c>
      <c r="D15" s="33">
        <v>76</v>
      </c>
      <c r="E15" s="33">
        <f t="shared" si="1"/>
        <v>1900</v>
      </c>
      <c r="F15" s="15" t="s">
        <v>61</v>
      </c>
      <c r="G15" s="44">
        <v>44000</v>
      </c>
      <c r="H15" s="45">
        <f t="shared" si="0"/>
        <v>0.22</v>
      </c>
      <c r="K15" s="59"/>
    </row>
    <row r="16" spans="2:11" x14ac:dyDescent="0.3">
      <c r="B16" s="33" t="s">
        <v>49</v>
      </c>
      <c r="C16" s="43">
        <v>20</v>
      </c>
      <c r="D16" s="33">
        <v>78</v>
      </c>
      <c r="E16" s="33">
        <f t="shared" si="1"/>
        <v>1560</v>
      </c>
      <c r="F16" s="15" t="s">
        <v>64</v>
      </c>
      <c r="G16" s="44">
        <v>44000</v>
      </c>
      <c r="H16" s="45">
        <f t="shared" si="0"/>
        <v>0.22</v>
      </c>
    </row>
    <row r="17" spans="2:14" x14ac:dyDescent="0.3">
      <c r="B17" s="33" t="s">
        <v>49</v>
      </c>
      <c r="C17" s="43">
        <v>20</v>
      </c>
      <c r="D17" s="33">
        <v>78</v>
      </c>
      <c r="E17" s="33">
        <f t="shared" si="1"/>
        <v>1560</v>
      </c>
      <c r="F17" s="15" t="s">
        <v>65</v>
      </c>
      <c r="G17" s="44">
        <v>38000</v>
      </c>
      <c r="H17" s="45">
        <f t="shared" si="0"/>
        <v>0.17</v>
      </c>
    </row>
    <row r="18" spans="2:14" x14ac:dyDescent="0.3">
      <c r="B18" s="33" t="s">
        <v>49</v>
      </c>
      <c r="C18" s="43">
        <v>20</v>
      </c>
      <c r="D18" s="33">
        <v>45</v>
      </c>
      <c r="E18" s="33">
        <f t="shared" si="1"/>
        <v>900</v>
      </c>
      <c r="F18" s="15" t="s">
        <v>66</v>
      </c>
      <c r="G18" s="44">
        <v>45000</v>
      </c>
      <c r="H18" s="45">
        <f t="shared" si="0"/>
        <v>0.22</v>
      </c>
    </row>
    <row r="19" spans="2:14" x14ac:dyDescent="0.3">
      <c r="B19" s="33" t="s">
        <v>52</v>
      </c>
      <c r="C19" s="43">
        <v>23</v>
      </c>
      <c r="D19" s="33">
        <v>32</v>
      </c>
      <c r="E19" s="33">
        <f t="shared" si="1"/>
        <v>736</v>
      </c>
      <c r="F19" s="15" t="s">
        <v>61</v>
      </c>
      <c r="G19" s="44">
        <v>33000</v>
      </c>
      <c r="H19" s="45">
        <f t="shared" si="0"/>
        <v>0.17</v>
      </c>
      <c r="J19" s="60" t="s">
        <v>167</v>
      </c>
      <c r="K19" s="61"/>
      <c r="L19" s="61"/>
      <c r="M19" s="61"/>
      <c r="N19" s="61"/>
    </row>
    <row r="20" spans="2:14" x14ac:dyDescent="0.3">
      <c r="B20" s="33" t="s">
        <v>52</v>
      </c>
      <c r="C20" s="43">
        <v>23</v>
      </c>
      <c r="D20" s="33">
        <v>6</v>
      </c>
      <c r="E20" s="33">
        <f t="shared" si="1"/>
        <v>138</v>
      </c>
      <c r="F20" s="15" t="s">
        <v>67</v>
      </c>
      <c r="G20" s="44">
        <v>38000</v>
      </c>
      <c r="H20" s="45">
        <f t="shared" si="0"/>
        <v>0.17</v>
      </c>
      <c r="J20" s="62">
        <v>0.12</v>
      </c>
      <c r="K20" s="63">
        <f>COUNTIF(Bonus, 12%)</f>
        <v>4</v>
      </c>
      <c r="L20" s="64"/>
      <c r="M20" s="64"/>
      <c r="N20" s="65"/>
    </row>
    <row r="21" spans="2:14" x14ac:dyDescent="0.3">
      <c r="B21" s="33" t="s">
        <v>52</v>
      </c>
      <c r="C21" s="43">
        <v>23</v>
      </c>
      <c r="D21" s="33">
        <v>23</v>
      </c>
      <c r="E21" s="33">
        <f t="shared" si="1"/>
        <v>529</v>
      </c>
      <c r="F21" s="15" t="s">
        <v>68</v>
      </c>
      <c r="G21" s="44">
        <v>33000</v>
      </c>
      <c r="H21" s="45">
        <f t="shared" si="0"/>
        <v>0.17</v>
      </c>
      <c r="J21" s="62">
        <v>0.17</v>
      </c>
      <c r="K21" s="63">
        <f>COUNTIF(Bonus, 17%)</f>
        <v>60</v>
      </c>
      <c r="L21" s="64"/>
      <c r="M21" s="64"/>
      <c r="N21" s="65"/>
    </row>
    <row r="22" spans="2:14" x14ac:dyDescent="0.3">
      <c r="B22" s="33" t="s">
        <v>52</v>
      </c>
      <c r="C22" s="43">
        <v>23</v>
      </c>
      <c r="D22" s="33">
        <v>34</v>
      </c>
      <c r="E22" s="33">
        <f t="shared" si="1"/>
        <v>782</v>
      </c>
      <c r="F22" s="15" t="s">
        <v>57</v>
      </c>
      <c r="G22" s="44">
        <v>44000</v>
      </c>
      <c r="H22" s="45">
        <f t="shared" si="0"/>
        <v>0.22</v>
      </c>
      <c r="J22" s="62">
        <v>0.22</v>
      </c>
      <c r="K22" s="63">
        <f>COUNTIF(Bonus, 22%)</f>
        <v>29</v>
      </c>
      <c r="L22" s="64"/>
      <c r="M22" s="64"/>
      <c r="N22" s="65"/>
    </row>
    <row r="23" spans="2:14" x14ac:dyDescent="0.3">
      <c r="B23" s="33" t="s">
        <v>52</v>
      </c>
      <c r="C23" s="43">
        <v>23</v>
      </c>
      <c r="D23" s="33">
        <v>23</v>
      </c>
      <c r="E23" s="33">
        <f t="shared" si="1"/>
        <v>529</v>
      </c>
      <c r="F23" s="15" t="s">
        <v>58</v>
      </c>
      <c r="G23" s="44">
        <v>40000</v>
      </c>
      <c r="H23" s="45">
        <f t="shared" si="0"/>
        <v>0.22</v>
      </c>
    </row>
    <row r="24" spans="2:14" x14ac:dyDescent="0.3">
      <c r="B24" s="33" t="s">
        <v>52</v>
      </c>
      <c r="C24" s="43">
        <v>23</v>
      </c>
      <c r="D24" s="33">
        <v>75</v>
      </c>
      <c r="E24" s="33">
        <f t="shared" si="1"/>
        <v>1725</v>
      </c>
      <c r="F24" s="15" t="s">
        <v>69</v>
      </c>
      <c r="G24" s="44">
        <v>44000</v>
      </c>
      <c r="H24" s="45">
        <f t="shared" si="0"/>
        <v>0.22</v>
      </c>
    </row>
    <row r="25" spans="2:14" x14ac:dyDescent="0.3">
      <c r="B25" s="33" t="s">
        <v>49</v>
      </c>
      <c r="C25" s="43">
        <v>20</v>
      </c>
      <c r="D25" s="33">
        <v>3</v>
      </c>
      <c r="E25" s="33">
        <f t="shared" si="1"/>
        <v>60</v>
      </c>
      <c r="F25" s="15" t="s">
        <v>70</v>
      </c>
      <c r="G25" s="44">
        <v>44000</v>
      </c>
      <c r="H25" s="45">
        <f t="shared" si="0"/>
        <v>0.22</v>
      </c>
      <c r="J25" s="66"/>
    </row>
    <row r="26" spans="2:14" x14ac:dyDescent="0.3">
      <c r="B26" s="33" t="s">
        <v>49</v>
      </c>
      <c r="C26" s="43">
        <v>20</v>
      </c>
      <c r="D26" s="33">
        <v>4</v>
      </c>
      <c r="E26" s="33">
        <f t="shared" si="1"/>
        <v>80</v>
      </c>
      <c r="F26" s="15" t="s">
        <v>71</v>
      </c>
      <c r="G26" s="44">
        <v>40000</v>
      </c>
      <c r="H26" s="45">
        <f t="shared" si="0"/>
        <v>0.22</v>
      </c>
      <c r="J26" s="59"/>
    </row>
    <row r="27" spans="2:14" x14ac:dyDescent="0.3">
      <c r="B27" s="33" t="s">
        <v>49</v>
      </c>
      <c r="C27" s="43">
        <v>20</v>
      </c>
      <c r="D27" s="33">
        <v>6</v>
      </c>
      <c r="E27" s="33">
        <f t="shared" si="1"/>
        <v>120</v>
      </c>
      <c r="F27" s="15" t="s">
        <v>72</v>
      </c>
      <c r="G27" s="44">
        <v>44000</v>
      </c>
      <c r="H27" s="45">
        <f t="shared" si="0"/>
        <v>0.22</v>
      </c>
      <c r="J27" s="59"/>
    </row>
    <row r="28" spans="2:14" x14ac:dyDescent="0.3">
      <c r="B28" s="33" t="s">
        <v>49</v>
      </c>
      <c r="C28" s="43">
        <v>20</v>
      </c>
      <c r="D28" s="33">
        <v>8</v>
      </c>
      <c r="E28" s="33">
        <f t="shared" si="1"/>
        <v>160</v>
      </c>
      <c r="F28" s="15" t="s">
        <v>73</v>
      </c>
      <c r="G28" s="44">
        <v>44000</v>
      </c>
      <c r="H28" s="45">
        <f t="shared" si="0"/>
        <v>0.22</v>
      </c>
      <c r="J28" s="59"/>
    </row>
    <row r="29" spans="2:14" x14ac:dyDescent="0.3">
      <c r="B29" s="33" t="s">
        <v>51</v>
      </c>
      <c r="C29" s="43">
        <v>20</v>
      </c>
      <c r="D29" s="33">
        <v>9</v>
      </c>
      <c r="E29" s="33">
        <f t="shared" si="1"/>
        <v>180</v>
      </c>
      <c r="F29" s="15" t="s">
        <v>74</v>
      </c>
      <c r="G29" s="44">
        <v>44000</v>
      </c>
      <c r="H29" s="45">
        <f t="shared" si="0"/>
        <v>0.22</v>
      </c>
    </row>
    <row r="30" spans="2:14" x14ac:dyDescent="0.3">
      <c r="B30" s="33" t="s">
        <v>51</v>
      </c>
      <c r="C30" s="43">
        <v>20</v>
      </c>
      <c r="D30" s="33">
        <v>0</v>
      </c>
      <c r="E30" s="33">
        <f t="shared" si="1"/>
        <v>0</v>
      </c>
      <c r="F30" s="46" t="s">
        <v>75</v>
      </c>
      <c r="G30" s="44">
        <v>44000</v>
      </c>
      <c r="H30" s="45">
        <f t="shared" si="0"/>
        <v>0.22</v>
      </c>
    </row>
    <row r="31" spans="2:14" x14ac:dyDescent="0.3">
      <c r="B31" s="33" t="s">
        <v>51</v>
      </c>
      <c r="C31" s="43">
        <v>20</v>
      </c>
      <c r="D31" s="33">
        <v>3</v>
      </c>
      <c r="E31" s="33">
        <f t="shared" si="1"/>
        <v>60</v>
      </c>
      <c r="F31" s="15" t="s">
        <v>62</v>
      </c>
      <c r="G31" s="44">
        <v>44000</v>
      </c>
      <c r="H31" s="45">
        <f t="shared" si="0"/>
        <v>0.22</v>
      </c>
    </row>
    <row r="32" spans="2:14" x14ac:dyDescent="0.3">
      <c r="B32" s="33" t="s">
        <v>51</v>
      </c>
      <c r="C32" s="43">
        <v>20</v>
      </c>
      <c r="D32" s="33">
        <v>6</v>
      </c>
      <c r="E32" s="33">
        <f t="shared" si="1"/>
        <v>120</v>
      </c>
      <c r="F32" s="15" t="s">
        <v>63</v>
      </c>
      <c r="G32" s="44">
        <v>44000</v>
      </c>
      <c r="H32" s="45">
        <f t="shared" si="0"/>
        <v>0.22</v>
      </c>
    </row>
    <row r="33" spans="2:8" x14ac:dyDescent="0.3">
      <c r="B33" s="33" t="s">
        <v>51</v>
      </c>
      <c r="C33" s="43">
        <v>20</v>
      </c>
      <c r="D33" s="33">
        <v>7</v>
      </c>
      <c r="E33" s="33">
        <f t="shared" si="1"/>
        <v>140</v>
      </c>
      <c r="F33" s="15" t="s">
        <v>64</v>
      </c>
      <c r="G33" s="44">
        <v>44000</v>
      </c>
      <c r="H33" s="45">
        <f t="shared" si="0"/>
        <v>0.22</v>
      </c>
    </row>
    <row r="34" spans="2:8" x14ac:dyDescent="0.3">
      <c r="B34" s="33" t="s">
        <v>51</v>
      </c>
      <c r="C34" s="43">
        <v>20</v>
      </c>
      <c r="D34" s="33">
        <v>9</v>
      </c>
      <c r="E34" s="33">
        <f t="shared" si="1"/>
        <v>180</v>
      </c>
      <c r="F34" s="15" t="s">
        <v>65</v>
      </c>
      <c r="G34" s="44">
        <v>40000</v>
      </c>
      <c r="H34" s="45">
        <f t="shared" si="0"/>
        <v>0.22</v>
      </c>
    </row>
    <row r="35" spans="2:8" x14ac:dyDescent="0.3">
      <c r="B35" s="33" t="s">
        <v>47</v>
      </c>
      <c r="C35" s="43">
        <v>60</v>
      </c>
      <c r="D35" s="33">
        <v>3</v>
      </c>
      <c r="E35" s="33">
        <f t="shared" si="1"/>
        <v>180</v>
      </c>
      <c r="F35" s="15" t="s">
        <v>66</v>
      </c>
      <c r="G35" s="44">
        <v>44000</v>
      </c>
      <c r="H35" s="45">
        <f t="shared" si="0"/>
        <v>0.22</v>
      </c>
    </row>
    <row r="36" spans="2:8" x14ac:dyDescent="0.3">
      <c r="B36" s="33" t="s">
        <v>47</v>
      </c>
      <c r="C36" s="43">
        <v>60</v>
      </c>
      <c r="D36" s="33">
        <v>7</v>
      </c>
      <c r="E36" s="33">
        <f t="shared" si="1"/>
        <v>420</v>
      </c>
      <c r="F36" s="15" t="s">
        <v>61</v>
      </c>
      <c r="G36" s="44">
        <v>38000</v>
      </c>
      <c r="H36" s="45">
        <f t="shared" ref="H36:H67" si="2">_xlfn.IFS(Salary&lt;30000, 12%, AND(Salary&gt;=30000, Salary&lt;40000), 17%, Salary&gt;=40000, 22%)</f>
        <v>0.17</v>
      </c>
    </row>
    <row r="37" spans="2:8" x14ac:dyDescent="0.3">
      <c r="B37" s="33" t="s">
        <v>47</v>
      </c>
      <c r="C37" s="43">
        <v>60</v>
      </c>
      <c r="D37" s="33">
        <v>96</v>
      </c>
      <c r="E37" s="33">
        <f t="shared" si="1"/>
        <v>5760</v>
      </c>
      <c r="F37" s="15" t="s">
        <v>67</v>
      </c>
      <c r="G37" s="44">
        <v>38000</v>
      </c>
      <c r="H37" s="45">
        <f t="shared" si="2"/>
        <v>0.17</v>
      </c>
    </row>
    <row r="38" spans="2:8" x14ac:dyDescent="0.3">
      <c r="B38" s="33" t="s">
        <v>47</v>
      </c>
      <c r="C38" s="43">
        <v>60</v>
      </c>
      <c r="D38" s="33">
        <v>76</v>
      </c>
      <c r="E38" s="33">
        <f t="shared" si="1"/>
        <v>4560</v>
      </c>
      <c r="F38" s="15" t="s">
        <v>68</v>
      </c>
      <c r="G38" s="44">
        <v>44000</v>
      </c>
      <c r="H38" s="45">
        <f t="shared" si="2"/>
        <v>0.22</v>
      </c>
    </row>
    <row r="39" spans="2:8" x14ac:dyDescent="0.3">
      <c r="B39" s="33" t="s">
        <v>47</v>
      </c>
      <c r="C39" s="43">
        <v>60</v>
      </c>
      <c r="D39" s="33">
        <v>3</v>
      </c>
      <c r="E39" s="33">
        <f t="shared" si="1"/>
        <v>180</v>
      </c>
      <c r="F39" s="15" t="s">
        <v>57</v>
      </c>
      <c r="G39" s="44">
        <v>38000</v>
      </c>
      <c r="H39" s="45">
        <f t="shared" si="2"/>
        <v>0.17</v>
      </c>
    </row>
    <row r="40" spans="2:8" x14ac:dyDescent="0.3">
      <c r="B40" s="33" t="s">
        <v>47</v>
      </c>
      <c r="C40" s="43">
        <v>60</v>
      </c>
      <c r="D40" s="33">
        <v>34</v>
      </c>
      <c r="E40" s="33">
        <f t="shared" si="1"/>
        <v>2040</v>
      </c>
      <c r="F40" s="15" t="s">
        <v>58</v>
      </c>
      <c r="G40" s="44">
        <v>44000</v>
      </c>
      <c r="H40" s="45">
        <f t="shared" si="2"/>
        <v>0.22</v>
      </c>
    </row>
    <row r="41" spans="2:8" x14ac:dyDescent="0.3">
      <c r="B41" s="33" t="s">
        <v>51</v>
      </c>
      <c r="C41" s="43">
        <v>20</v>
      </c>
      <c r="D41" s="33">
        <v>34</v>
      </c>
      <c r="E41" s="33">
        <f t="shared" si="1"/>
        <v>680</v>
      </c>
      <c r="F41" s="15" t="s">
        <v>58</v>
      </c>
      <c r="G41" s="44">
        <v>38000</v>
      </c>
      <c r="H41" s="45">
        <f t="shared" si="2"/>
        <v>0.17</v>
      </c>
    </row>
    <row r="42" spans="2:8" x14ac:dyDescent="0.3">
      <c r="B42" s="33" t="s">
        <v>51</v>
      </c>
      <c r="C42" s="43">
        <v>20</v>
      </c>
      <c r="D42" s="33">
        <v>43</v>
      </c>
      <c r="E42" s="33">
        <f t="shared" si="1"/>
        <v>860</v>
      </c>
      <c r="F42" s="15" t="s">
        <v>59</v>
      </c>
      <c r="G42" s="44">
        <v>38000</v>
      </c>
      <c r="H42" s="45">
        <f t="shared" si="2"/>
        <v>0.17</v>
      </c>
    </row>
    <row r="43" spans="2:8" x14ac:dyDescent="0.3">
      <c r="B43" s="33" t="s">
        <v>51</v>
      </c>
      <c r="C43" s="43">
        <v>20</v>
      </c>
      <c r="D43" s="33">
        <v>76</v>
      </c>
      <c r="E43" s="33">
        <f t="shared" si="1"/>
        <v>1520</v>
      </c>
      <c r="F43" s="15" t="s">
        <v>60</v>
      </c>
      <c r="G43" s="44">
        <v>38000</v>
      </c>
      <c r="H43" s="45">
        <f t="shared" si="2"/>
        <v>0.17</v>
      </c>
    </row>
    <row r="44" spans="2:8" x14ac:dyDescent="0.3">
      <c r="B44" s="33" t="s">
        <v>51</v>
      </c>
      <c r="C44" s="43">
        <v>20</v>
      </c>
      <c r="D44" s="33">
        <v>86</v>
      </c>
      <c r="E44" s="33">
        <f t="shared" si="1"/>
        <v>1720</v>
      </c>
      <c r="F44" s="15" t="s">
        <v>76</v>
      </c>
      <c r="G44" s="44">
        <v>38000</v>
      </c>
      <c r="H44" s="45">
        <f t="shared" si="2"/>
        <v>0.17</v>
      </c>
    </row>
    <row r="45" spans="2:8" x14ac:dyDescent="0.3">
      <c r="B45" s="33" t="s">
        <v>51</v>
      </c>
      <c r="C45" s="43">
        <v>20</v>
      </c>
      <c r="D45" s="33">
        <v>98</v>
      </c>
      <c r="E45" s="33">
        <f t="shared" si="1"/>
        <v>1960</v>
      </c>
      <c r="F45" s="15" t="s">
        <v>69</v>
      </c>
      <c r="G45" s="44">
        <v>33000</v>
      </c>
      <c r="H45" s="45">
        <f t="shared" si="2"/>
        <v>0.17</v>
      </c>
    </row>
    <row r="46" spans="2:8" x14ac:dyDescent="0.3">
      <c r="B46" s="33" t="s">
        <v>51</v>
      </c>
      <c r="C46" s="43">
        <v>20</v>
      </c>
      <c r="D46" s="33">
        <v>9</v>
      </c>
      <c r="E46" s="33">
        <f t="shared" si="1"/>
        <v>180</v>
      </c>
      <c r="F46" s="15" t="s">
        <v>70</v>
      </c>
      <c r="G46" s="44">
        <v>44000</v>
      </c>
      <c r="H46" s="45">
        <f t="shared" si="2"/>
        <v>0.22</v>
      </c>
    </row>
    <row r="47" spans="2:8" x14ac:dyDescent="0.3">
      <c r="B47" s="33" t="s">
        <v>51</v>
      </c>
      <c r="C47" s="43">
        <v>20</v>
      </c>
      <c r="D47" s="33">
        <v>3</v>
      </c>
      <c r="E47" s="33">
        <f t="shared" si="1"/>
        <v>60</v>
      </c>
      <c r="F47" s="15" t="s">
        <v>71</v>
      </c>
      <c r="G47" s="44">
        <v>39000</v>
      </c>
      <c r="H47" s="45">
        <f t="shared" si="2"/>
        <v>0.17</v>
      </c>
    </row>
    <row r="48" spans="2:8" x14ac:dyDescent="0.3">
      <c r="B48" s="33" t="s">
        <v>53</v>
      </c>
      <c r="C48" s="43">
        <v>23</v>
      </c>
      <c r="D48" s="33">
        <v>45</v>
      </c>
      <c r="E48" s="33">
        <f t="shared" si="1"/>
        <v>1035</v>
      </c>
      <c r="F48" s="15" t="s">
        <v>72</v>
      </c>
      <c r="G48" s="44">
        <v>39000</v>
      </c>
      <c r="H48" s="45">
        <f t="shared" si="2"/>
        <v>0.17</v>
      </c>
    </row>
    <row r="49" spans="2:8" x14ac:dyDescent="0.3">
      <c r="B49" s="33" t="s">
        <v>53</v>
      </c>
      <c r="C49" s="43">
        <v>23</v>
      </c>
      <c r="D49" s="33">
        <v>57</v>
      </c>
      <c r="E49" s="33">
        <f t="shared" si="1"/>
        <v>1311</v>
      </c>
      <c r="F49" s="15" t="s">
        <v>73</v>
      </c>
      <c r="G49" s="44">
        <v>39000</v>
      </c>
      <c r="H49" s="45">
        <f t="shared" si="2"/>
        <v>0.17</v>
      </c>
    </row>
    <row r="50" spans="2:8" x14ac:dyDescent="0.3">
      <c r="B50" s="33" t="s">
        <v>53</v>
      </c>
      <c r="C50" s="43">
        <v>23</v>
      </c>
      <c r="D50" s="33">
        <v>87</v>
      </c>
      <c r="E50" s="33">
        <f t="shared" si="1"/>
        <v>2001</v>
      </c>
      <c r="F50" s="15" t="s">
        <v>74</v>
      </c>
      <c r="G50" s="44">
        <v>39000</v>
      </c>
      <c r="H50" s="45">
        <f t="shared" si="2"/>
        <v>0.17</v>
      </c>
    </row>
    <row r="51" spans="2:8" x14ac:dyDescent="0.3">
      <c r="B51" s="33" t="s">
        <v>53</v>
      </c>
      <c r="C51" s="43">
        <v>23</v>
      </c>
      <c r="D51" s="33">
        <v>65</v>
      </c>
      <c r="E51" s="33">
        <f t="shared" si="1"/>
        <v>1495</v>
      </c>
      <c r="F51" s="15" t="s">
        <v>77</v>
      </c>
      <c r="G51" s="44">
        <v>33000</v>
      </c>
      <c r="H51" s="45">
        <f t="shared" si="2"/>
        <v>0.17</v>
      </c>
    </row>
    <row r="52" spans="2:8" x14ac:dyDescent="0.3">
      <c r="B52" s="33" t="s">
        <v>53</v>
      </c>
      <c r="C52" s="43">
        <v>23</v>
      </c>
      <c r="D52" s="33">
        <v>34</v>
      </c>
      <c r="E52" s="33">
        <f t="shared" si="1"/>
        <v>782</v>
      </c>
      <c r="F52" s="15" t="s">
        <v>78</v>
      </c>
      <c r="G52" s="44">
        <v>33000</v>
      </c>
      <c r="H52" s="45">
        <f t="shared" si="2"/>
        <v>0.17</v>
      </c>
    </row>
    <row r="53" spans="2:8" x14ac:dyDescent="0.3">
      <c r="B53" s="33" t="s">
        <v>53</v>
      </c>
      <c r="C53" s="43">
        <v>23</v>
      </c>
      <c r="D53" s="33">
        <v>65</v>
      </c>
      <c r="E53" s="33">
        <f t="shared" si="1"/>
        <v>1495</v>
      </c>
      <c r="F53" s="15" t="s">
        <v>79</v>
      </c>
      <c r="G53" s="44">
        <v>33000</v>
      </c>
      <c r="H53" s="45">
        <f t="shared" si="2"/>
        <v>0.17</v>
      </c>
    </row>
    <row r="54" spans="2:8" x14ac:dyDescent="0.3">
      <c r="B54" s="33" t="s">
        <v>53</v>
      </c>
      <c r="C54" s="43">
        <v>23</v>
      </c>
      <c r="D54" s="33">
        <v>87</v>
      </c>
      <c r="E54" s="33">
        <f t="shared" si="1"/>
        <v>2001</v>
      </c>
      <c r="F54" s="15" t="s">
        <v>80</v>
      </c>
      <c r="G54" s="44">
        <v>33000</v>
      </c>
      <c r="H54" s="45">
        <f t="shared" si="2"/>
        <v>0.17</v>
      </c>
    </row>
    <row r="55" spans="2:8" x14ac:dyDescent="0.3">
      <c r="B55" s="33" t="s">
        <v>53</v>
      </c>
      <c r="C55" s="43">
        <v>23</v>
      </c>
      <c r="D55" s="33">
        <v>89</v>
      </c>
      <c r="E55" s="33">
        <f t="shared" si="1"/>
        <v>2047</v>
      </c>
      <c r="F55" s="15" t="s">
        <v>81</v>
      </c>
      <c r="G55" s="44">
        <v>28000</v>
      </c>
      <c r="H55" s="48">
        <f t="shared" si="2"/>
        <v>0.12</v>
      </c>
    </row>
    <row r="56" spans="2:8" x14ac:dyDescent="0.3">
      <c r="B56" s="33" t="s">
        <v>53</v>
      </c>
      <c r="C56" s="43">
        <v>23</v>
      </c>
      <c r="D56" s="33">
        <v>8</v>
      </c>
      <c r="E56" s="33">
        <f t="shared" si="1"/>
        <v>184</v>
      </c>
      <c r="F56" s="15" t="s">
        <v>82</v>
      </c>
      <c r="G56" s="44">
        <v>39000</v>
      </c>
      <c r="H56" s="45">
        <f t="shared" si="2"/>
        <v>0.17</v>
      </c>
    </row>
    <row r="57" spans="2:8" x14ac:dyDescent="0.3">
      <c r="B57" s="33" t="s">
        <v>53</v>
      </c>
      <c r="C57" s="43">
        <v>23</v>
      </c>
      <c r="D57" s="33">
        <v>56</v>
      </c>
      <c r="E57" s="33">
        <f t="shared" si="1"/>
        <v>1288</v>
      </c>
      <c r="F57" s="15" t="s">
        <v>75</v>
      </c>
      <c r="G57" s="44">
        <v>39000</v>
      </c>
      <c r="H57" s="45">
        <f t="shared" si="2"/>
        <v>0.17</v>
      </c>
    </row>
    <row r="58" spans="2:8" x14ac:dyDescent="0.3">
      <c r="B58" s="33" t="s">
        <v>53</v>
      </c>
      <c r="C58" s="43">
        <v>23</v>
      </c>
      <c r="D58" s="33">
        <v>3</v>
      </c>
      <c r="E58" s="33">
        <f t="shared" si="1"/>
        <v>69</v>
      </c>
      <c r="F58" s="15" t="s">
        <v>64</v>
      </c>
      <c r="G58" s="44">
        <v>39000</v>
      </c>
      <c r="H58" s="45">
        <f t="shared" si="2"/>
        <v>0.17</v>
      </c>
    </row>
    <row r="59" spans="2:8" x14ac:dyDescent="0.3">
      <c r="B59" s="33" t="s">
        <v>53</v>
      </c>
      <c r="C59" s="43">
        <v>23</v>
      </c>
      <c r="D59" s="33">
        <v>34</v>
      </c>
      <c r="E59" s="33">
        <f t="shared" si="1"/>
        <v>782</v>
      </c>
      <c r="F59" s="15" t="s">
        <v>65</v>
      </c>
      <c r="G59" s="44">
        <v>39000</v>
      </c>
      <c r="H59" s="45">
        <f t="shared" si="2"/>
        <v>0.17</v>
      </c>
    </row>
    <row r="60" spans="2:8" x14ac:dyDescent="0.3">
      <c r="B60" s="33" t="s">
        <v>53</v>
      </c>
      <c r="C60" s="43">
        <v>23</v>
      </c>
      <c r="D60" s="33">
        <v>2</v>
      </c>
      <c r="E60" s="33">
        <f t="shared" si="1"/>
        <v>46</v>
      </c>
      <c r="F60" s="15" t="s">
        <v>66</v>
      </c>
      <c r="G60" s="44">
        <v>33000</v>
      </c>
      <c r="H60" s="45">
        <f t="shared" si="2"/>
        <v>0.17</v>
      </c>
    </row>
    <row r="61" spans="2:8" x14ac:dyDescent="0.3">
      <c r="B61" s="33" t="s">
        <v>53</v>
      </c>
      <c r="C61" s="43">
        <v>23</v>
      </c>
      <c r="D61" s="33">
        <v>32</v>
      </c>
      <c r="E61" s="33">
        <f t="shared" si="1"/>
        <v>736</v>
      </c>
      <c r="F61" s="15" t="s">
        <v>61</v>
      </c>
      <c r="G61" s="44">
        <v>40000</v>
      </c>
      <c r="H61" s="45">
        <f t="shared" si="2"/>
        <v>0.22</v>
      </c>
    </row>
    <row r="62" spans="2:8" x14ac:dyDescent="0.3">
      <c r="B62" s="33" t="s">
        <v>53</v>
      </c>
      <c r="C62" s="43">
        <v>23</v>
      </c>
      <c r="D62" s="33">
        <v>6</v>
      </c>
      <c r="E62" s="33">
        <f t="shared" si="1"/>
        <v>138</v>
      </c>
      <c r="F62" s="15" t="s">
        <v>67</v>
      </c>
      <c r="G62" s="44">
        <v>28000</v>
      </c>
      <c r="H62" s="48">
        <f t="shared" si="2"/>
        <v>0.12</v>
      </c>
    </row>
    <row r="63" spans="2:8" x14ac:dyDescent="0.3">
      <c r="B63" s="33" t="s">
        <v>53</v>
      </c>
      <c r="C63" s="43">
        <v>23</v>
      </c>
      <c r="D63" s="33">
        <v>8</v>
      </c>
      <c r="E63" s="33">
        <f t="shared" si="1"/>
        <v>184</v>
      </c>
      <c r="F63" s="15" t="s">
        <v>68</v>
      </c>
      <c r="G63" s="44">
        <v>33000</v>
      </c>
      <c r="H63" s="45">
        <f t="shared" si="2"/>
        <v>0.17</v>
      </c>
    </row>
    <row r="64" spans="2:8" x14ac:dyDescent="0.3">
      <c r="B64" s="33" t="s">
        <v>53</v>
      </c>
      <c r="C64" s="43">
        <v>23</v>
      </c>
      <c r="D64" s="33">
        <v>9</v>
      </c>
      <c r="E64" s="33">
        <f t="shared" si="1"/>
        <v>207</v>
      </c>
      <c r="F64" s="15" t="s">
        <v>57</v>
      </c>
      <c r="G64" s="44">
        <v>28000</v>
      </c>
      <c r="H64" s="48">
        <f t="shared" si="2"/>
        <v>0.12</v>
      </c>
    </row>
    <row r="65" spans="2:8" x14ac:dyDescent="0.3">
      <c r="B65" s="33" t="s">
        <v>53</v>
      </c>
      <c r="C65" s="43">
        <v>23</v>
      </c>
      <c r="D65" s="33">
        <v>0</v>
      </c>
      <c r="E65" s="33">
        <f t="shared" si="1"/>
        <v>0</v>
      </c>
      <c r="F65" s="15" t="s">
        <v>58</v>
      </c>
      <c r="G65" s="44">
        <v>39000</v>
      </c>
      <c r="H65" s="45">
        <f t="shared" si="2"/>
        <v>0.17</v>
      </c>
    </row>
    <row r="66" spans="2:8" x14ac:dyDescent="0.3">
      <c r="B66" s="33" t="s">
        <v>53</v>
      </c>
      <c r="C66" s="43">
        <v>23</v>
      </c>
      <c r="D66" s="33">
        <v>3</v>
      </c>
      <c r="E66" s="33">
        <f t="shared" si="1"/>
        <v>69</v>
      </c>
      <c r="F66" s="15" t="s">
        <v>69</v>
      </c>
      <c r="G66" s="44">
        <v>35000</v>
      </c>
      <c r="H66" s="45">
        <f t="shared" si="2"/>
        <v>0.17</v>
      </c>
    </row>
    <row r="67" spans="2:8" x14ac:dyDescent="0.3">
      <c r="B67" s="33" t="s">
        <v>53</v>
      </c>
      <c r="C67" s="43">
        <v>23</v>
      </c>
      <c r="D67" s="33">
        <v>6</v>
      </c>
      <c r="E67" s="33">
        <f t="shared" si="1"/>
        <v>138</v>
      </c>
      <c r="F67" s="15" t="s">
        <v>70</v>
      </c>
      <c r="G67" s="44">
        <v>39000</v>
      </c>
      <c r="H67" s="45">
        <f t="shared" si="2"/>
        <v>0.17</v>
      </c>
    </row>
    <row r="68" spans="2:8" x14ac:dyDescent="0.3">
      <c r="B68" s="33" t="s">
        <v>53</v>
      </c>
      <c r="C68" s="43">
        <v>23</v>
      </c>
      <c r="D68" s="33">
        <v>65</v>
      </c>
      <c r="E68" s="33">
        <f t="shared" si="1"/>
        <v>1495</v>
      </c>
      <c r="F68" s="15" t="s">
        <v>70</v>
      </c>
      <c r="G68" s="44">
        <v>39000</v>
      </c>
      <c r="H68" s="45">
        <f t="shared" ref="H68:H96" si="3">_xlfn.IFS(Salary&lt;30000, 12%, AND(Salary&gt;=30000, Salary&lt;40000), 17%, Salary&gt;=40000, 22%)</f>
        <v>0.17</v>
      </c>
    </row>
    <row r="69" spans="2:8" x14ac:dyDescent="0.3">
      <c r="B69" s="33" t="s">
        <v>53</v>
      </c>
      <c r="C69" s="43">
        <v>23</v>
      </c>
      <c r="D69" s="33">
        <v>87</v>
      </c>
      <c r="E69" s="33">
        <f t="shared" ref="E69:E96" si="4">C69*D69</f>
        <v>2001</v>
      </c>
      <c r="F69" s="15" t="s">
        <v>71</v>
      </c>
      <c r="G69" s="44">
        <v>35000</v>
      </c>
      <c r="H69" s="45">
        <f t="shared" si="3"/>
        <v>0.17</v>
      </c>
    </row>
    <row r="70" spans="2:8" x14ac:dyDescent="0.3">
      <c r="B70" s="33" t="s">
        <v>53</v>
      </c>
      <c r="C70" s="43">
        <v>23</v>
      </c>
      <c r="D70" s="33">
        <v>89</v>
      </c>
      <c r="E70" s="33">
        <f t="shared" si="4"/>
        <v>2047</v>
      </c>
      <c r="F70" s="15" t="s">
        <v>72</v>
      </c>
      <c r="G70" s="44">
        <v>39000</v>
      </c>
      <c r="H70" s="45">
        <f t="shared" si="3"/>
        <v>0.17</v>
      </c>
    </row>
    <row r="71" spans="2:8" x14ac:dyDescent="0.3">
      <c r="B71" s="33" t="s">
        <v>53</v>
      </c>
      <c r="C71" s="43">
        <v>23</v>
      </c>
      <c r="D71" s="33">
        <v>8</v>
      </c>
      <c r="E71" s="33">
        <f t="shared" si="4"/>
        <v>184</v>
      </c>
      <c r="F71" s="15" t="s">
        <v>73</v>
      </c>
      <c r="G71" s="44">
        <v>39000</v>
      </c>
      <c r="H71" s="45">
        <f t="shared" si="3"/>
        <v>0.17</v>
      </c>
    </row>
    <row r="72" spans="2:8" x14ac:dyDescent="0.3">
      <c r="B72" s="33" t="s">
        <v>48</v>
      </c>
      <c r="C72" s="43">
        <v>12</v>
      </c>
      <c r="D72" s="33">
        <v>56</v>
      </c>
      <c r="E72" s="33">
        <f t="shared" si="4"/>
        <v>672</v>
      </c>
      <c r="F72" s="15" t="s">
        <v>69</v>
      </c>
      <c r="G72" s="44">
        <v>39000</v>
      </c>
      <c r="H72" s="45">
        <f t="shared" si="3"/>
        <v>0.17</v>
      </c>
    </row>
    <row r="73" spans="2:8" x14ac:dyDescent="0.3">
      <c r="B73" s="33" t="s">
        <v>48</v>
      </c>
      <c r="C73" s="43">
        <v>12</v>
      </c>
      <c r="D73" s="33">
        <v>54</v>
      </c>
      <c r="E73" s="33">
        <f t="shared" si="4"/>
        <v>648</v>
      </c>
      <c r="F73" s="15" t="s">
        <v>70</v>
      </c>
      <c r="G73" s="44">
        <v>39000</v>
      </c>
      <c r="H73" s="45">
        <f t="shared" si="3"/>
        <v>0.17</v>
      </c>
    </row>
    <row r="74" spans="2:8" x14ac:dyDescent="0.3">
      <c r="B74" s="33" t="s">
        <v>48</v>
      </c>
      <c r="C74" s="43">
        <v>12</v>
      </c>
      <c r="D74" s="33">
        <v>76</v>
      </c>
      <c r="E74" s="33">
        <f t="shared" si="4"/>
        <v>912</v>
      </c>
      <c r="F74" s="15" t="s">
        <v>71</v>
      </c>
      <c r="G74" s="44">
        <v>39000</v>
      </c>
      <c r="H74" s="45">
        <f t="shared" si="3"/>
        <v>0.17</v>
      </c>
    </row>
    <row r="75" spans="2:8" x14ac:dyDescent="0.3">
      <c r="B75" s="33" t="s">
        <v>48</v>
      </c>
      <c r="C75" s="43">
        <v>12</v>
      </c>
      <c r="D75" s="33">
        <v>78</v>
      </c>
      <c r="E75" s="33">
        <f t="shared" si="4"/>
        <v>936</v>
      </c>
      <c r="F75" s="15" t="s">
        <v>72</v>
      </c>
      <c r="G75" s="44">
        <v>39000</v>
      </c>
      <c r="H75" s="45">
        <f t="shared" si="3"/>
        <v>0.17</v>
      </c>
    </row>
    <row r="76" spans="2:8" x14ac:dyDescent="0.3">
      <c r="B76" s="33" t="s">
        <v>48</v>
      </c>
      <c r="C76" s="43">
        <v>12</v>
      </c>
      <c r="D76" s="33">
        <v>78</v>
      </c>
      <c r="E76" s="33">
        <f t="shared" si="4"/>
        <v>936</v>
      </c>
      <c r="F76" s="15" t="s">
        <v>73</v>
      </c>
      <c r="G76" s="44">
        <v>39000</v>
      </c>
      <c r="H76" s="45">
        <f t="shared" si="3"/>
        <v>0.17</v>
      </c>
    </row>
    <row r="77" spans="2:8" x14ac:dyDescent="0.3">
      <c r="B77" s="33" t="s">
        <v>48</v>
      </c>
      <c r="C77" s="43">
        <v>12</v>
      </c>
      <c r="D77" s="33">
        <v>45</v>
      </c>
      <c r="E77" s="33">
        <f t="shared" si="4"/>
        <v>540</v>
      </c>
      <c r="F77" s="15" t="s">
        <v>74</v>
      </c>
      <c r="G77" s="44">
        <v>35000</v>
      </c>
      <c r="H77" s="45">
        <f t="shared" si="3"/>
        <v>0.17</v>
      </c>
    </row>
    <row r="78" spans="2:8" x14ac:dyDescent="0.3">
      <c r="B78" s="33" t="s">
        <v>48</v>
      </c>
      <c r="C78" s="43">
        <v>12</v>
      </c>
      <c r="D78" s="33">
        <v>32</v>
      </c>
      <c r="E78" s="33">
        <f t="shared" si="4"/>
        <v>384</v>
      </c>
      <c r="F78" s="15" t="s">
        <v>77</v>
      </c>
      <c r="G78" s="44">
        <v>39000</v>
      </c>
      <c r="H78" s="45">
        <f t="shared" si="3"/>
        <v>0.17</v>
      </c>
    </row>
    <row r="79" spans="2:8" x14ac:dyDescent="0.3">
      <c r="B79" s="33" t="s">
        <v>48</v>
      </c>
      <c r="C79" s="43">
        <v>12</v>
      </c>
      <c r="D79" s="33">
        <v>6</v>
      </c>
      <c r="E79" s="33">
        <f t="shared" si="4"/>
        <v>72</v>
      </c>
      <c r="F79" s="15" t="s">
        <v>78</v>
      </c>
      <c r="G79" s="44">
        <v>33000</v>
      </c>
      <c r="H79" s="45">
        <f t="shared" si="3"/>
        <v>0.17</v>
      </c>
    </row>
    <row r="80" spans="2:8" x14ac:dyDescent="0.3">
      <c r="B80" s="33" t="s">
        <v>48</v>
      </c>
      <c r="C80" s="43">
        <v>12</v>
      </c>
      <c r="D80" s="33">
        <v>23</v>
      </c>
      <c r="E80" s="33">
        <f t="shared" si="4"/>
        <v>276</v>
      </c>
      <c r="F80" s="15" t="s">
        <v>79</v>
      </c>
      <c r="G80" s="44">
        <v>33000</v>
      </c>
      <c r="H80" s="45">
        <f t="shared" si="3"/>
        <v>0.17</v>
      </c>
    </row>
    <row r="81" spans="2:8" x14ac:dyDescent="0.3">
      <c r="B81" s="33" t="s">
        <v>46</v>
      </c>
      <c r="C81" s="43">
        <v>10</v>
      </c>
      <c r="D81" s="33">
        <v>34</v>
      </c>
      <c r="E81" s="33">
        <f t="shared" si="4"/>
        <v>340</v>
      </c>
      <c r="F81" s="15" t="s">
        <v>80</v>
      </c>
      <c r="G81" s="44">
        <v>39000</v>
      </c>
      <c r="H81" s="45">
        <f t="shared" si="3"/>
        <v>0.17</v>
      </c>
    </row>
    <row r="82" spans="2:8" x14ac:dyDescent="0.3">
      <c r="B82" s="33" t="s">
        <v>46</v>
      </c>
      <c r="C82" s="43">
        <v>10</v>
      </c>
      <c r="D82" s="33">
        <v>23</v>
      </c>
      <c r="E82" s="33">
        <f t="shared" si="4"/>
        <v>230</v>
      </c>
      <c r="F82" s="15" t="s">
        <v>70</v>
      </c>
      <c r="G82" s="44">
        <v>33000</v>
      </c>
      <c r="H82" s="45">
        <f t="shared" si="3"/>
        <v>0.17</v>
      </c>
    </row>
    <row r="83" spans="2:8" x14ac:dyDescent="0.3">
      <c r="B83" s="33" t="s">
        <v>46</v>
      </c>
      <c r="C83" s="43">
        <v>10</v>
      </c>
      <c r="D83" s="33">
        <v>75</v>
      </c>
      <c r="E83" s="33">
        <f t="shared" si="4"/>
        <v>750</v>
      </c>
      <c r="F83" s="15" t="s">
        <v>71</v>
      </c>
      <c r="G83" s="44">
        <v>39000</v>
      </c>
      <c r="H83" s="45">
        <f t="shared" si="3"/>
        <v>0.17</v>
      </c>
    </row>
    <row r="84" spans="2:8" x14ac:dyDescent="0.3">
      <c r="B84" s="33" t="s">
        <v>46</v>
      </c>
      <c r="C84" s="43">
        <v>10</v>
      </c>
      <c r="D84" s="33">
        <v>3</v>
      </c>
      <c r="E84" s="33">
        <f t="shared" si="4"/>
        <v>30</v>
      </c>
      <c r="F84" s="15" t="s">
        <v>72</v>
      </c>
      <c r="G84" s="44">
        <v>33000</v>
      </c>
      <c r="H84" s="45">
        <f t="shared" si="3"/>
        <v>0.17</v>
      </c>
    </row>
    <row r="85" spans="2:8" x14ac:dyDescent="0.3">
      <c r="B85" s="33" t="s">
        <v>46</v>
      </c>
      <c r="C85" s="43">
        <v>10</v>
      </c>
      <c r="D85" s="33">
        <v>58</v>
      </c>
      <c r="E85" s="33">
        <f t="shared" si="4"/>
        <v>580</v>
      </c>
      <c r="F85" s="15" t="s">
        <v>73</v>
      </c>
      <c r="G85" s="44">
        <v>33000</v>
      </c>
      <c r="H85" s="45">
        <f t="shared" si="3"/>
        <v>0.17</v>
      </c>
    </row>
    <row r="86" spans="2:8" x14ac:dyDescent="0.3">
      <c r="B86" s="33" t="s">
        <v>46</v>
      </c>
      <c r="C86" s="43">
        <v>10</v>
      </c>
      <c r="D86" s="33">
        <v>56</v>
      </c>
      <c r="E86" s="33">
        <f t="shared" si="4"/>
        <v>560</v>
      </c>
      <c r="F86" s="15" t="s">
        <v>73</v>
      </c>
      <c r="G86" s="44">
        <v>33000</v>
      </c>
      <c r="H86" s="45">
        <f t="shared" si="3"/>
        <v>0.17</v>
      </c>
    </row>
    <row r="87" spans="2:8" x14ac:dyDescent="0.3">
      <c r="B87" s="33" t="s">
        <v>46</v>
      </c>
      <c r="C87" s="43">
        <v>10</v>
      </c>
      <c r="D87" s="33">
        <v>78</v>
      </c>
      <c r="E87" s="33">
        <f t="shared" si="4"/>
        <v>780</v>
      </c>
      <c r="F87" s="15" t="s">
        <v>74</v>
      </c>
      <c r="G87" s="44">
        <v>33000</v>
      </c>
      <c r="H87" s="45">
        <f t="shared" si="3"/>
        <v>0.17</v>
      </c>
    </row>
    <row r="88" spans="2:8" x14ac:dyDescent="0.3">
      <c r="B88" s="33" t="s">
        <v>46</v>
      </c>
      <c r="C88" s="43">
        <v>10</v>
      </c>
      <c r="D88" s="33">
        <v>80</v>
      </c>
      <c r="E88" s="33">
        <f t="shared" si="4"/>
        <v>800</v>
      </c>
      <c r="F88" s="46" t="s">
        <v>75</v>
      </c>
      <c r="G88" s="44">
        <v>28000</v>
      </c>
      <c r="H88" s="48">
        <f t="shared" si="3"/>
        <v>0.12</v>
      </c>
    </row>
    <row r="89" spans="2:8" x14ac:dyDescent="0.3">
      <c r="B89" s="33" t="s">
        <v>45</v>
      </c>
      <c r="C89" s="43">
        <v>100</v>
      </c>
      <c r="D89" s="33">
        <v>80</v>
      </c>
      <c r="E89" s="33">
        <f t="shared" si="4"/>
        <v>8000</v>
      </c>
      <c r="F89" s="15" t="s">
        <v>62</v>
      </c>
      <c r="G89" s="44">
        <v>39000</v>
      </c>
      <c r="H89" s="45">
        <f t="shared" si="3"/>
        <v>0.17</v>
      </c>
    </row>
    <row r="90" spans="2:8" x14ac:dyDescent="0.3">
      <c r="B90" s="33" t="s">
        <v>45</v>
      </c>
      <c r="C90" s="43">
        <v>100</v>
      </c>
      <c r="D90" s="33">
        <v>47</v>
      </c>
      <c r="E90" s="33">
        <f t="shared" si="4"/>
        <v>4700</v>
      </c>
      <c r="F90" s="15" t="s">
        <v>63</v>
      </c>
      <c r="G90" s="44">
        <v>44000</v>
      </c>
      <c r="H90" s="45">
        <f t="shared" si="3"/>
        <v>0.22</v>
      </c>
    </row>
    <row r="91" spans="2:8" x14ac:dyDescent="0.3">
      <c r="B91" s="33" t="s">
        <v>45</v>
      </c>
      <c r="C91" s="43">
        <v>100</v>
      </c>
      <c r="D91" s="33">
        <v>34</v>
      </c>
      <c r="E91" s="33">
        <f t="shared" si="4"/>
        <v>3400</v>
      </c>
      <c r="F91" s="15" t="s">
        <v>64</v>
      </c>
      <c r="G91" s="44">
        <v>38000</v>
      </c>
      <c r="H91" s="45">
        <f t="shared" si="3"/>
        <v>0.17</v>
      </c>
    </row>
    <row r="92" spans="2:8" x14ac:dyDescent="0.3">
      <c r="B92" s="33" t="s">
        <v>45</v>
      </c>
      <c r="C92" s="43">
        <v>100</v>
      </c>
      <c r="D92" s="33">
        <v>8</v>
      </c>
      <c r="E92" s="33">
        <f t="shared" si="4"/>
        <v>800</v>
      </c>
      <c r="F92" s="15" t="s">
        <v>65</v>
      </c>
      <c r="G92" s="44">
        <v>44000</v>
      </c>
      <c r="H92" s="45">
        <f t="shared" si="3"/>
        <v>0.22</v>
      </c>
    </row>
    <row r="93" spans="2:8" x14ac:dyDescent="0.3">
      <c r="B93" s="33" t="s">
        <v>45</v>
      </c>
      <c r="C93" s="43">
        <v>100</v>
      </c>
      <c r="D93" s="33">
        <v>25</v>
      </c>
      <c r="E93" s="33">
        <f t="shared" si="4"/>
        <v>2500</v>
      </c>
      <c r="F93" s="15" t="s">
        <v>66</v>
      </c>
      <c r="G93" s="44">
        <v>38000</v>
      </c>
      <c r="H93" s="45">
        <f t="shared" si="3"/>
        <v>0.17</v>
      </c>
    </row>
    <row r="94" spans="2:8" x14ac:dyDescent="0.3">
      <c r="B94" s="33" t="s">
        <v>45</v>
      </c>
      <c r="C94" s="43">
        <v>100</v>
      </c>
      <c r="D94" s="33">
        <v>36</v>
      </c>
      <c r="E94" s="33">
        <f t="shared" si="4"/>
        <v>3600</v>
      </c>
      <c r="F94" s="15" t="s">
        <v>61</v>
      </c>
      <c r="G94" s="44">
        <v>38000</v>
      </c>
      <c r="H94" s="45">
        <f t="shared" si="3"/>
        <v>0.17</v>
      </c>
    </row>
    <row r="95" spans="2:8" x14ac:dyDescent="0.3">
      <c r="B95" s="33" t="s">
        <v>45</v>
      </c>
      <c r="C95" s="43">
        <v>100</v>
      </c>
      <c r="D95" s="33">
        <v>25</v>
      </c>
      <c r="E95" s="33">
        <f t="shared" si="4"/>
        <v>2500</v>
      </c>
      <c r="F95" s="15" t="s">
        <v>67</v>
      </c>
      <c r="G95" s="44">
        <v>38000</v>
      </c>
      <c r="H95" s="45">
        <f t="shared" si="3"/>
        <v>0.17</v>
      </c>
    </row>
    <row r="96" spans="2:8" ht="16.2" thickBot="1" x14ac:dyDescent="0.35">
      <c r="B96" s="34" t="s">
        <v>45</v>
      </c>
      <c r="C96" s="43">
        <v>100</v>
      </c>
      <c r="D96" s="34">
        <v>77</v>
      </c>
      <c r="E96" s="33">
        <f t="shared" si="4"/>
        <v>7700</v>
      </c>
      <c r="F96" s="19" t="s">
        <v>68</v>
      </c>
      <c r="G96" s="47">
        <v>38000</v>
      </c>
      <c r="H96" s="45">
        <f t="shared" si="3"/>
        <v>0.17</v>
      </c>
    </row>
  </sheetData>
  <autoFilter ref="B3:H96" xr:uid="{77A2B625-C07D-41F1-9954-5EB246C48144}"/>
  <mergeCells count="3">
    <mergeCell ref="K20:N20"/>
    <mergeCell ref="K21:N21"/>
    <mergeCell ref="K22:N22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9656-7A0F-4ABC-970E-E93AD63EF7EA}">
  <dimension ref="B2:M21"/>
  <sheetViews>
    <sheetView workbookViewId="0">
      <selection activeCell="F11" sqref="F11"/>
    </sheetView>
  </sheetViews>
  <sheetFormatPr defaultColWidth="9.109375" defaultRowHeight="15.6" x14ac:dyDescent="0.3"/>
  <cols>
    <col min="1" max="1" width="9.109375" style="35"/>
    <col min="2" max="2" width="16.88671875" style="35" customWidth="1"/>
    <col min="3" max="3" width="13.88671875" style="35" customWidth="1"/>
    <col min="4" max="4" width="17.5546875" style="35" customWidth="1"/>
    <col min="5" max="5" width="9.109375" style="35"/>
    <col min="6" max="6" width="12.33203125" style="35" customWidth="1"/>
    <col min="7" max="7" width="13.21875" style="35" customWidth="1"/>
    <col min="8" max="16384" width="9.109375" style="35"/>
  </cols>
  <sheetData>
    <row r="2" spans="2:13" ht="16.2" thickBot="1" x14ac:dyDescent="0.35"/>
    <row r="3" spans="2:13" ht="16.2" thickBot="1" x14ac:dyDescent="0.35">
      <c r="B3" s="53" t="s">
        <v>83</v>
      </c>
      <c r="C3" s="53" t="s">
        <v>84</v>
      </c>
      <c r="F3" s="67"/>
      <c r="G3" s="67"/>
    </row>
    <row r="4" spans="2:13" ht="16.2" thickBot="1" x14ac:dyDescent="0.35">
      <c r="B4" s="54">
        <v>5</v>
      </c>
      <c r="C4" s="55" t="str">
        <f>_xlfn.IFS(AND(Marks &gt;= 0, Marks &lt;= 20), "B", AND(Marks &gt; 20, Marks &lt;= 30), "A")</f>
        <v>B</v>
      </c>
    </row>
    <row r="5" spans="2:13" ht="16.2" thickBot="1" x14ac:dyDescent="0.35">
      <c r="B5" s="36">
        <v>6</v>
      </c>
      <c r="C5" s="55" t="str">
        <f>_xlfn.IFS(AND(Marks &gt;= 0, Marks &lt;= 20), "B", AND(Marks &gt; 20, Marks &lt;= 30), "A")</f>
        <v>B</v>
      </c>
      <c r="F5" s="69" t="s">
        <v>85</v>
      </c>
      <c r="G5" s="69" t="s">
        <v>8</v>
      </c>
    </row>
    <row r="6" spans="2:13" ht="16.2" thickBot="1" x14ac:dyDescent="0.35">
      <c r="B6" s="36">
        <v>10</v>
      </c>
      <c r="C6" s="55" t="str">
        <f>_xlfn.IFS(AND(Marks &gt;= 0, Marks &lt;= 20), "B", AND(Marks &gt; 20, Marks &lt;= 30), "A")</f>
        <v>B</v>
      </c>
      <c r="F6" s="69" t="s">
        <v>86</v>
      </c>
      <c r="G6" s="69" t="s">
        <v>7</v>
      </c>
    </row>
    <row r="7" spans="2:13" ht="16.2" thickBot="1" x14ac:dyDescent="0.35">
      <c r="B7" s="36">
        <v>15</v>
      </c>
      <c r="C7" s="55" t="str">
        <f>_xlfn.IFS(AND(Marks &gt;= 0, Marks &lt;= 20), "B", AND(Marks &gt; 20, Marks &lt;= 30), "A")</f>
        <v>B</v>
      </c>
    </row>
    <row r="8" spans="2:13" ht="16.2" thickBot="1" x14ac:dyDescent="0.35">
      <c r="B8" s="36">
        <v>18</v>
      </c>
      <c r="C8" s="55" t="str">
        <f>_xlfn.IFS(AND(Marks &gt;= 0, Marks &lt;= 20), "B", AND(Marks &gt; 20, Marks &lt;= 30), "A")</f>
        <v>B</v>
      </c>
    </row>
    <row r="9" spans="2:13" ht="16.2" thickBot="1" x14ac:dyDescent="0.35">
      <c r="B9" s="36">
        <v>20</v>
      </c>
      <c r="C9" s="55" t="str">
        <f>_xlfn.IFS(AND(Marks &gt;= 0, Marks &lt;= 20), "B", AND(Marks &gt; 20, Marks &lt;= 30), "A")</f>
        <v>B</v>
      </c>
    </row>
    <row r="10" spans="2:13" ht="16.2" thickBot="1" x14ac:dyDescent="0.35">
      <c r="B10" s="36">
        <v>12</v>
      </c>
      <c r="C10" s="55" t="str">
        <f>_xlfn.IFS(AND(Marks &gt;= 0, Marks &lt;= 20), "B", AND(Marks &gt; 20, Marks &lt;= 30), "A")</f>
        <v>B</v>
      </c>
    </row>
    <row r="11" spans="2:13" ht="16.2" thickBot="1" x14ac:dyDescent="0.35">
      <c r="B11" s="37">
        <v>25</v>
      </c>
      <c r="C11" s="55" t="str">
        <f>_xlfn.IFS(AND(Marks &gt;= 0, Marks &lt;= 20), "B", AND(Marks &gt; 20, Marks &lt;= 30), "A")</f>
        <v>A</v>
      </c>
    </row>
    <row r="12" spans="2:13" ht="16.2" thickBot="1" x14ac:dyDescent="0.35"/>
    <row r="13" spans="2:13" ht="31.8" thickBot="1" x14ac:dyDescent="0.35">
      <c r="B13" s="53" t="s">
        <v>245</v>
      </c>
      <c r="C13" s="53" t="s">
        <v>87</v>
      </c>
      <c r="D13" s="53" t="s">
        <v>246</v>
      </c>
    </row>
    <row r="14" spans="2:13" ht="16.2" thickBot="1" x14ac:dyDescent="0.35">
      <c r="B14" s="54">
        <v>5</v>
      </c>
      <c r="C14" s="56" t="s">
        <v>88</v>
      </c>
      <c r="D14" s="55" t="str">
        <f>IF(OR(Marks_Obtained &gt; 10, Plays_Sports = "Y"), "A", "B")</f>
        <v>A</v>
      </c>
      <c r="G14" s="68" t="s">
        <v>168</v>
      </c>
      <c r="H14" s="68"/>
      <c r="I14" s="68"/>
      <c r="J14" s="68"/>
      <c r="K14" s="68"/>
      <c r="L14" s="68"/>
      <c r="M14" s="68"/>
    </row>
    <row r="15" spans="2:13" ht="16.2" thickBot="1" x14ac:dyDescent="0.35">
      <c r="B15" s="36">
        <v>6</v>
      </c>
      <c r="C15" s="26" t="s">
        <v>88</v>
      </c>
      <c r="D15" s="55" t="str">
        <f>IF(OR(Marks_Obtained &gt; 10, Plays_Sports = "Y"), "A", "B")</f>
        <v>A</v>
      </c>
    </row>
    <row r="16" spans="2:13" ht="16.2" thickBot="1" x14ac:dyDescent="0.35">
      <c r="B16" s="36">
        <v>10</v>
      </c>
      <c r="C16" s="26" t="s">
        <v>89</v>
      </c>
      <c r="D16" s="55" t="str">
        <f>IF(OR(Marks_Obtained &gt; 10, Plays_Sports = "Y"), "A", "B")</f>
        <v>B</v>
      </c>
    </row>
    <row r="17" spans="2:4" ht="16.2" thickBot="1" x14ac:dyDescent="0.35">
      <c r="B17" s="36">
        <v>15</v>
      </c>
      <c r="C17" s="26" t="s">
        <v>88</v>
      </c>
      <c r="D17" s="55" t="str">
        <f>IF(OR(Marks_Obtained &gt; 10, Plays_Sports = "Y"), "A", "B")</f>
        <v>A</v>
      </c>
    </row>
    <row r="18" spans="2:4" ht="16.2" thickBot="1" x14ac:dyDescent="0.35">
      <c r="B18" s="36">
        <v>18</v>
      </c>
      <c r="C18" s="26" t="s">
        <v>88</v>
      </c>
      <c r="D18" s="55" t="str">
        <f>IF(OR(Marks_Obtained &gt; 10, Plays_Sports = "Y"), "A", "B")</f>
        <v>A</v>
      </c>
    </row>
    <row r="19" spans="2:4" ht="16.2" thickBot="1" x14ac:dyDescent="0.35">
      <c r="B19" s="36">
        <v>20</v>
      </c>
      <c r="C19" s="26" t="s">
        <v>89</v>
      </c>
      <c r="D19" s="55" t="str">
        <f>IF(OR(Marks_Obtained &gt; 10, Plays_Sports = "Y"), "A", "B")</f>
        <v>A</v>
      </c>
    </row>
    <row r="20" spans="2:4" ht="16.2" thickBot="1" x14ac:dyDescent="0.35">
      <c r="B20" s="36">
        <v>12</v>
      </c>
      <c r="C20" s="26" t="s">
        <v>88</v>
      </c>
      <c r="D20" s="55" t="str">
        <f>IF(OR(Marks_Obtained &gt; 10, Plays_Sports = "Y"), "A", "B")</f>
        <v>A</v>
      </c>
    </row>
    <row r="21" spans="2:4" ht="16.2" thickBot="1" x14ac:dyDescent="0.35">
      <c r="B21" s="37">
        <v>25</v>
      </c>
      <c r="C21" s="38" t="s">
        <v>89</v>
      </c>
      <c r="D21" s="55" t="str">
        <f>IF(OR(Marks_Obtained &gt; 10, Plays_Sports = "Y"), "A", "B")</f>
        <v>A</v>
      </c>
    </row>
  </sheetData>
  <mergeCells count="2">
    <mergeCell ref="G14:M14"/>
    <mergeCell ref="F3:G3"/>
  </mergeCells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3B8F-C543-4302-A216-30B39BABE277}">
  <dimension ref="B1:K95"/>
  <sheetViews>
    <sheetView zoomScale="130" zoomScaleNormal="130" workbookViewId="0">
      <selection activeCell="D4" sqref="D4"/>
    </sheetView>
  </sheetViews>
  <sheetFormatPr defaultColWidth="8.77734375" defaultRowHeight="13.2" x14ac:dyDescent="0.3"/>
  <cols>
    <col min="1" max="1" width="9.109375" style="81"/>
    <col min="2" max="2" width="17.33203125" style="81" customWidth="1"/>
    <col min="3" max="3" width="16" style="81" customWidth="1"/>
    <col min="4" max="4" width="15.5546875" style="81" customWidth="1"/>
    <col min="5" max="6" width="9.109375" style="81"/>
    <col min="7" max="7" width="24.33203125" style="81" customWidth="1"/>
    <col min="8" max="257" width="9.109375" style="81"/>
    <col min="258" max="258" width="12.109375" style="81" customWidth="1"/>
    <col min="259" max="262" width="9.109375" style="81"/>
    <col min="263" max="263" width="24.33203125" style="81" customWidth="1"/>
    <col min="264" max="513" width="9.109375" style="81"/>
    <col min="514" max="514" width="12.109375" style="81" customWidth="1"/>
    <col min="515" max="518" width="9.109375" style="81"/>
    <col min="519" max="519" width="24.33203125" style="81" customWidth="1"/>
    <col min="520" max="769" width="9.109375" style="81"/>
    <col min="770" max="770" width="12.109375" style="81" customWidth="1"/>
    <col min="771" max="774" width="9.109375" style="81"/>
    <col min="775" max="775" width="24.33203125" style="81" customWidth="1"/>
    <col min="776" max="1025" width="9.109375" style="81"/>
    <col min="1026" max="1026" width="12.109375" style="81" customWidth="1"/>
    <col min="1027" max="1030" width="9.109375" style="81"/>
    <col min="1031" max="1031" width="24.33203125" style="81" customWidth="1"/>
    <col min="1032" max="1281" width="9.109375" style="81"/>
    <col min="1282" max="1282" width="12.109375" style="81" customWidth="1"/>
    <col min="1283" max="1286" width="9.109375" style="81"/>
    <col min="1287" max="1287" width="24.33203125" style="81" customWidth="1"/>
    <col min="1288" max="1537" width="9.109375" style="81"/>
    <col min="1538" max="1538" width="12.109375" style="81" customWidth="1"/>
    <col min="1539" max="1542" width="9.109375" style="81"/>
    <col min="1543" max="1543" width="24.33203125" style="81" customWidth="1"/>
    <col min="1544" max="1793" width="9.109375" style="81"/>
    <col min="1794" max="1794" width="12.109375" style="81" customWidth="1"/>
    <col min="1795" max="1798" width="9.109375" style="81"/>
    <col min="1799" max="1799" width="24.33203125" style="81" customWidth="1"/>
    <col min="1800" max="2049" width="9.109375" style="81"/>
    <col min="2050" max="2050" width="12.109375" style="81" customWidth="1"/>
    <col min="2051" max="2054" width="9.109375" style="81"/>
    <col min="2055" max="2055" width="24.33203125" style="81" customWidth="1"/>
    <col min="2056" max="2305" width="9.109375" style="81"/>
    <col min="2306" max="2306" width="12.109375" style="81" customWidth="1"/>
    <col min="2307" max="2310" width="9.109375" style="81"/>
    <col min="2311" max="2311" width="24.33203125" style="81" customWidth="1"/>
    <col min="2312" max="2561" width="9.109375" style="81"/>
    <col min="2562" max="2562" width="12.109375" style="81" customWidth="1"/>
    <col min="2563" max="2566" width="9.109375" style="81"/>
    <col min="2567" max="2567" width="24.33203125" style="81" customWidth="1"/>
    <col min="2568" max="2817" width="9.109375" style="81"/>
    <col min="2818" max="2818" width="12.109375" style="81" customWidth="1"/>
    <col min="2819" max="2822" width="9.109375" style="81"/>
    <col min="2823" max="2823" width="24.33203125" style="81" customWidth="1"/>
    <col min="2824" max="3073" width="9.109375" style="81"/>
    <col min="3074" max="3074" width="12.109375" style="81" customWidth="1"/>
    <col min="3075" max="3078" width="9.109375" style="81"/>
    <col min="3079" max="3079" width="24.33203125" style="81" customWidth="1"/>
    <col min="3080" max="3329" width="9.109375" style="81"/>
    <col min="3330" max="3330" width="12.109375" style="81" customWidth="1"/>
    <col min="3331" max="3334" width="9.109375" style="81"/>
    <col min="3335" max="3335" width="24.33203125" style="81" customWidth="1"/>
    <col min="3336" max="3585" width="9.109375" style="81"/>
    <col min="3586" max="3586" width="12.109375" style="81" customWidth="1"/>
    <col min="3587" max="3590" width="9.109375" style="81"/>
    <col min="3591" max="3591" width="24.33203125" style="81" customWidth="1"/>
    <col min="3592" max="3841" width="9.109375" style="81"/>
    <col min="3842" max="3842" width="12.109375" style="81" customWidth="1"/>
    <col min="3843" max="3846" width="9.109375" style="81"/>
    <col min="3847" max="3847" width="24.33203125" style="81" customWidth="1"/>
    <col min="3848" max="4097" width="9.109375" style="81"/>
    <col min="4098" max="4098" width="12.109375" style="81" customWidth="1"/>
    <col min="4099" max="4102" width="9.109375" style="81"/>
    <col min="4103" max="4103" width="24.33203125" style="81" customWidth="1"/>
    <col min="4104" max="4353" width="9.109375" style="81"/>
    <col min="4354" max="4354" width="12.109375" style="81" customWidth="1"/>
    <col min="4355" max="4358" width="9.109375" style="81"/>
    <col min="4359" max="4359" width="24.33203125" style="81" customWidth="1"/>
    <col min="4360" max="4609" width="9.109375" style="81"/>
    <col min="4610" max="4610" width="12.109375" style="81" customWidth="1"/>
    <col min="4611" max="4614" width="9.109375" style="81"/>
    <col min="4615" max="4615" width="24.33203125" style="81" customWidth="1"/>
    <col min="4616" max="4865" width="9.109375" style="81"/>
    <col min="4866" max="4866" width="12.109375" style="81" customWidth="1"/>
    <col min="4867" max="4870" width="9.109375" style="81"/>
    <col min="4871" max="4871" width="24.33203125" style="81" customWidth="1"/>
    <col min="4872" max="5121" width="9.109375" style="81"/>
    <col min="5122" max="5122" width="12.109375" style="81" customWidth="1"/>
    <col min="5123" max="5126" width="9.109375" style="81"/>
    <col min="5127" max="5127" width="24.33203125" style="81" customWidth="1"/>
    <col min="5128" max="5377" width="9.109375" style="81"/>
    <col min="5378" max="5378" width="12.109375" style="81" customWidth="1"/>
    <col min="5379" max="5382" width="9.109375" style="81"/>
    <col min="5383" max="5383" width="24.33203125" style="81" customWidth="1"/>
    <col min="5384" max="5633" width="9.109375" style="81"/>
    <col min="5634" max="5634" width="12.109375" style="81" customWidth="1"/>
    <col min="5635" max="5638" width="9.109375" style="81"/>
    <col min="5639" max="5639" width="24.33203125" style="81" customWidth="1"/>
    <col min="5640" max="5889" width="9.109375" style="81"/>
    <col min="5890" max="5890" width="12.109375" style="81" customWidth="1"/>
    <col min="5891" max="5894" width="9.109375" style="81"/>
    <col min="5895" max="5895" width="24.33203125" style="81" customWidth="1"/>
    <col min="5896" max="6145" width="9.109375" style="81"/>
    <col min="6146" max="6146" width="12.109375" style="81" customWidth="1"/>
    <col min="6147" max="6150" width="9.109375" style="81"/>
    <col min="6151" max="6151" width="24.33203125" style="81" customWidth="1"/>
    <col min="6152" max="6401" width="9.109375" style="81"/>
    <col min="6402" max="6402" width="12.109375" style="81" customWidth="1"/>
    <col min="6403" max="6406" width="9.109375" style="81"/>
    <col min="6407" max="6407" width="24.33203125" style="81" customWidth="1"/>
    <col min="6408" max="6657" width="9.109375" style="81"/>
    <col min="6658" max="6658" width="12.109375" style="81" customWidth="1"/>
    <col min="6659" max="6662" width="9.109375" style="81"/>
    <col min="6663" max="6663" width="24.33203125" style="81" customWidth="1"/>
    <col min="6664" max="6913" width="9.109375" style="81"/>
    <col min="6914" max="6914" width="12.109375" style="81" customWidth="1"/>
    <col min="6915" max="6918" width="9.109375" style="81"/>
    <col min="6919" max="6919" width="24.33203125" style="81" customWidth="1"/>
    <col min="6920" max="7169" width="9.109375" style="81"/>
    <col min="7170" max="7170" width="12.109375" style="81" customWidth="1"/>
    <col min="7171" max="7174" width="9.109375" style="81"/>
    <col min="7175" max="7175" width="24.33203125" style="81" customWidth="1"/>
    <col min="7176" max="7425" width="9.109375" style="81"/>
    <col min="7426" max="7426" width="12.109375" style="81" customWidth="1"/>
    <col min="7427" max="7430" width="9.109375" style="81"/>
    <col min="7431" max="7431" width="24.33203125" style="81" customWidth="1"/>
    <col min="7432" max="7681" width="9.109375" style="81"/>
    <col min="7682" max="7682" width="12.109375" style="81" customWidth="1"/>
    <col min="7683" max="7686" width="9.109375" style="81"/>
    <col min="7687" max="7687" width="24.33203125" style="81" customWidth="1"/>
    <col min="7688" max="7937" width="9.109375" style="81"/>
    <col min="7938" max="7938" width="12.109375" style="81" customWidth="1"/>
    <col min="7939" max="7942" width="9.109375" style="81"/>
    <col min="7943" max="7943" width="24.33203125" style="81" customWidth="1"/>
    <col min="7944" max="8193" width="9.109375" style="81"/>
    <col min="8194" max="8194" width="12.109375" style="81" customWidth="1"/>
    <col min="8195" max="8198" width="9.109375" style="81"/>
    <col min="8199" max="8199" width="24.33203125" style="81" customWidth="1"/>
    <col min="8200" max="8449" width="9.109375" style="81"/>
    <col min="8450" max="8450" width="12.109375" style="81" customWidth="1"/>
    <col min="8451" max="8454" width="9.109375" style="81"/>
    <col min="8455" max="8455" width="24.33203125" style="81" customWidth="1"/>
    <col min="8456" max="8705" width="9.109375" style="81"/>
    <col min="8706" max="8706" width="12.109375" style="81" customWidth="1"/>
    <col min="8707" max="8710" width="9.109375" style="81"/>
    <col min="8711" max="8711" width="24.33203125" style="81" customWidth="1"/>
    <col min="8712" max="8961" width="9.109375" style="81"/>
    <col min="8962" max="8962" width="12.109375" style="81" customWidth="1"/>
    <col min="8963" max="8966" width="9.109375" style="81"/>
    <col min="8967" max="8967" width="24.33203125" style="81" customWidth="1"/>
    <col min="8968" max="9217" width="9.109375" style="81"/>
    <col min="9218" max="9218" width="12.109375" style="81" customWidth="1"/>
    <col min="9219" max="9222" width="9.109375" style="81"/>
    <col min="9223" max="9223" width="24.33203125" style="81" customWidth="1"/>
    <col min="9224" max="9473" width="9.109375" style="81"/>
    <col min="9474" max="9474" width="12.109375" style="81" customWidth="1"/>
    <col min="9475" max="9478" width="9.109375" style="81"/>
    <col min="9479" max="9479" width="24.33203125" style="81" customWidth="1"/>
    <col min="9480" max="9729" width="9.109375" style="81"/>
    <col min="9730" max="9730" width="12.109375" style="81" customWidth="1"/>
    <col min="9731" max="9734" width="9.109375" style="81"/>
    <col min="9735" max="9735" width="24.33203125" style="81" customWidth="1"/>
    <col min="9736" max="9985" width="9.109375" style="81"/>
    <col min="9986" max="9986" width="12.109375" style="81" customWidth="1"/>
    <col min="9987" max="9990" width="9.109375" style="81"/>
    <col min="9991" max="9991" width="24.33203125" style="81" customWidth="1"/>
    <col min="9992" max="10241" width="9.109375" style="81"/>
    <col min="10242" max="10242" width="12.109375" style="81" customWidth="1"/>
    <col min="10243" max="10246" width="9.109375" style="81"/>
    <col min="10247" max="10247" width="24.33203125" style="81" customWidth="1"/>
    <col min="10248" max="10497" width="9.109375" style="81"/>
    <col min="10498" max="10498" width="12.109375" style="81" customWidth="1"/>
    <col min="10499" max="10502" width="9.109375" style="81"/>
    <col min="10503" max="10503" width="24.33203125" style="81" customWidth="1"/>
    <col min="10504" max="10753" width="9.109375" style="81"/>
    <col min="10754" max="10754" width="12.109375" style="81" customWidth="1"/>
    <col min="10755" max="10758" width="9.109375" style="81"/>
    <col min="10759" max="10759" width="24.33203125" style="81" customWidth="1"/>
    <col min="10760" max="11009" width="9.109375" style="81"/>
    <col min="11010" max="11010" width="12.109375" style="81" customWidth="1"/>
    <col min="11011" max="11014" width="9.109375" style="81"/>
    <col min="11015" max="11015" width="24.33203125" style="81" customWidth="1"/>
    <col min="11016" max="11265" width="9.109375" style="81"/>
    <col min="11266" max="11266" width="12.109375" style="81" customWidth="1"/>
    <col min="11267" max="11270" width="9.109375" style="81"/>
    <col min="11271" max="11271" width="24.33203125" style="81" customWidth="1"/>
    <col min="11272" max="11521" width="9.109375" style="81"/>
    <col min="11522" max="11522" width="12.109375" style="81" customWidth="1"/>
    <col min="11523" max="11526" width="9.109375" style="81"/>
    <col min="11527" max="11527" width="24.33203125" style="81" customWidth="1"/>
    <col min="11528" max="11777" width="9.109375" style="81"/>
    <col min="11778" max="11778" width="12.109375" style="81" customWidth="1"/>
    <col min="11779" max="11782" width="9.109375" style="81"/>
    <col min="11783" max="11783" width="24.33203125" style="81" customWidth="1"/>
    <col min="11784" max="12033" width="9.109375" style="81"/>
    <col min="12034" max="12034" width="12.109375" style="81" customWidth="1"/>
    <col min="12035" max="12038" width="9.109375" style="81"/>
    <col min="12039" max="12039" width="24.33203125" style="81" customWidth="1"/>
    <col min="12040" max="12289" width="9.109375" style="81"/>
    <col min="12290" max="12290" width="12.109375" style="81" customWidth="1"/>
    <col min="12291" max="12294" width="9.109375" style="81"/>
    <col min="12295" max="12295" width="24.33203125" style="81" customWidth="1"/>
    <col min="12296" max="12545" width="9.109375" style="81"/>
    <col min="12546" max="12546" width="12.109375" style="81" customWidth="1"/>
    <col min="12547" max="12550" width="9.109375" style="81"/>
    <col min="12551" max="12551" width="24.33203125" style="81" customWidth="1"/>
    <col min="12552" max="12801" width="9.109375" style="81"/>
    <col min="12802" max="12802" width="12.109375" style="81" customWidth="1"/>
    <col min="12803" max="12806" width="9.109375" style="81"/>
    <col min="12807" max="12807" width="24.33203125" style="81" customWidth="1"/>
    <col min="12808" max="13057" width="9.109375" style="81"/>
    <col min="13058" max="13058" width="12.109375" style="81" customWidth="1"/>
    <col min="13059" max="13062" width="9.109375" style="81"/>
    <col min="13063" max="13063" width="24.33203125" style="81" customWidth="1"/>
    <col min="13064" max="13313" width="9.109375" style="81"/>
    <col min="13314" max="13314" width="12.109375" style="81" customWidth="1"/>
    <col min="13315" max="13318" width="9.109375" style="81"/>
    <col min="13319" max="13319" width="24.33203125" style="81" customWidth="1"/>
    <col min="13320" max="13569" width="9.109375" style="81"/>
    <col min="13570" max="13570" width="12.109375" style="81" customWidth="1"/>
    <col min="13571" max="13574" width="9.109375" style="81"/>
    <col min="13575" max="13575" width="24.33203125" style="81" customWidth="1"/>
    <col min="13576" max="13825" width="9.109375" style="81"/>
    <col min="13826" max="13826" width="12.109375" style="81" customWidth="1"/>
    <col min="13827" max="13830" width="9.109375" style="81"/>
    <col min="13831" max="13831" width="24.33203125" style="81" customWidth="1"/>
    <col min="13832" max="14081" width="9.109375" style="81"/>
    <col min="14082" max="14082" width="12.109375" style="81" customWidth="1"/>
    <col min="14083" max="14086" width="9.109375" style="81"/>
    <col min="14087" max="14087" width="24.33203125" style="81" customWidth="1"/>
    <col min="14088" max="14337" width="9.109375" style="81"/>
    <col min="14338" max="14338" width="12.109375" style="81" customWidth="1"/>
    <col min="14339" max="14342" width="9.109375" style="81"/>
    <col min="14343" max="14343" width="24.33203125" style="81" customWidth="1"/>
    <col min="14344" max="14593" width="9.109375" style="81"/>
    <col min="14594" max="14594" width="12.109375" style="81" customWidth="1"/>
    <col min="14595" max="14598" width="9.109375" style="81"/>
    <col min="14599" max="14599" width="24.33203125" style="81" customWidth="1"/>
    <col min="14600" max="14849" width="9.109375" style="81"/>
    <col min="14850" max="14850" width="12.109375" style="81" customWidth="1"/>
    <col min="14851" max="14854" width="9.109375" style="81"/>
    <col min="14855" max="14855" width="24.33203125" style="81" customWidth="1"/>
    <col min="14856" max="15105" width="9.109375" style="81"/>
    <col min="15106" max="15106" width="12.109375" style="81" customWidth="1"/>
    <col min="15107" max="15110" width="9.109375" style="81"/>
    <col min="15111" max="15111" width="24.33203125" style="81" customWidth="1"/>
    <col min="15112" max="15361" width="9.109375" style="81"/>
    <col min="15362" max="15362" width="12.109375" style="81" customWidth="1"/>
    <col min="15363" max="15366" width="9.109375" style="81"/>
    <col min="15367" max="15367" width="24.33203125" style="81" customWidth="1"/>
    <col min="15368" max="15617" width="9.109375" style="81"/>
    <col min="15618" max="15618" width="12.109375" style="81" customWidth="1"/>
    <col min="15619" max="15622" width="9.109375" style="81"/>
    <col min="15623" max="15623" width="24.33203125" style="81" customWidth="1"/>
    <col min="15624" max="15873" width="9.109375" style="81"/>
    <col min="15874" max="15874" width="12.109375" style="81" customWidth="1"/>
    <col min="15875" max="15878" width="9.109375" style="81"/>
    <col min="15879" max="15879" width="24.33203125" style="81" customWidth="1"/>
    <col min="15880" max="16129" width="9.109375" style="81"/>
    <col min="16130" max="16130" width="12.109375" style="81" customWidth="1"/>
    <col min="16131" max="16134" width="9.109375" style="81"/>
    <col min="16135" max="16135" width="24.33203125" style="81" customWidth="1"/>
    <col min="16136" max="16384" width="9.109375" style="81"/>
  </cols>
  <sheetData>
    <row r="1" spans="2:11" ht="13.8" thickBot="1" x14ac:dyDescent="0.35"/>
    <row r="2" spans="2:11" ht="13.8" thickBot="1" x14ac:dyDescent="0.35">
      <c r="B2" s="70" t="s">
        <v>248</v>
      </c>
      <c r="C2" s="71" t="s">
        <v>247</v>
      </c>
      <c r="D2" s="72" t="s">
        <v>90</v>
      </c>
    </row>
    <row r="3" spans="2:11" x14ac:dyDescent="0.3">
      <c r="B3" s="82" t="s">
        <v>57</v>
      </c>
      <c r="C3" s="83">
        <v>29696</v>
      </c>
      <c r="D3" s="91">
        <f>IF(Salary_Received &lt;= 30000, Salary_Received * 0.1, Salary_Received * 0.2)</f>
        <v>2969.6000000000004</v>
      </c>
      <c r="G3" s="90" t="s">
        <v>91</v>
      </c>
      <c r="H3" s="90" t="s">
        <v>90</v>
      </c>
    </row>
    <row r="4" spans="2:11" x14ac:dyDescent="0.3">
      <c r="B4" s="84" t="s">
        <v>58</v>
      </c>
      <c r="C4" s="83">
        <v>45126</v>
      </c>
      <c r="D4" s="91">
        <f>IF(Salary_Received &lt;= 30000, Salary_Received * 0.1, Salary_Received * 0.2)</f>
        <v>9025.2000000000007</v>
      </c>
      <c r="G4" s="88" t="s">
        <v>92</v>
      </c>
      <c r="H4" s="89">
        <v>0.1</v>
      </c>
    </row>
    <row r="5" spans="2:11" x14ac:dyDescent="0.3">
      <c r="B5" s="84" t="s">
        <v>58</v>
      </c>
      <c r="C5" s="83">
        <v>45721</v>
      </c>
      <c r="D5" s="91">
        <f>IF(Salary_Received &lt;= 30000, Salary_Received * 0.1, Salary_Received * 0.2)</f>
        <v>9144.2000000000007</v>
      </c>
      <c r="G5" s="88" t="s">
        <v>93</v>
      </c>
      <c r="H5" s="89">
        <v>0.2</v>
      </c>
    </row>
    <row r="6" spans="2:11" x14ac:dyDescent="0.3">
      <c r="B6" s="84" t="s">
        <v>59</v>
      </c>
      <c r="C6" s="83">
        <v>40219</v>
      </c>
      <c r="D6" s="91">
        <f>IF(Salary_Received &lt;= 30000, Salary_Received * 0.1, Salary_Received * 0.2)</f>
        <v>8043.8</v>
      </c>
    </row>
    <row r="7" spans="2:11" x14ac:dyDescent="0.3">
      <c r="B7" s="84" t="s">
        <v>60</v>
      </c>
      <c r="C7" s="83">
        <v>48145</v>
      </c>
      <c r="D7" s="91">
        <f>IF(Salary_Received &lt;= 30000, Salary_Received * 0.1, Salary_Received * 0.2)</f>
        <v>9629</v>
      </c>
      <c r="F7" s="93"/>
    </row>
    <row r="8" spans="2:11" x14ac:dyDescent="0.3">
      <c r="B8" s="86" t="s">
        <v>61</v>
      </c>
      <c r="C8" s="83">
        <v>38976</v>
      </c>
      <c r="D8" s="91">
        <f>IF(Salary_Received &lt;= 30000, Salary_Received * 0.1, Salary_Received * 0.2)</f>
        <v>7795.2000000000007</v>
      </c>
    </row>
    <row r="9" spans="2:11" x14ac:dyDescent="0.3">
      <c r="B9" s="84" t="s">
        <v>62</v>
      </c>
      <c r="C9" s="83">
        <v>17946</v>
      </c>
      <c r="D9" s="91">
        <f>IF(Salary_Received &lt;= 30000, Salary_Received * 0.1, Salary_Received * 0.2)</f>
        <v>1794.6000000000001</v>
      </c>
      <c r="H9" s="85"/>
    </row>
    <row r="10" spans="2:11" x14ac:dyDescent="0.3">
      <c r="B10" s="84" t="s">
        <v>63</v>
      </c>
      <c r="C10" s="83">
        <v>26834</v>
      </c>
      <c r="D10" s="91">
        <f>IF(Salary_Received &lt;= 30000, Salary_Received * 0.1, Salary_Received * 0.2)</f>
        <v>2683.4</v>
      </c>
      <c r="H10" s="85"/>
    </row>
    <row r="11" spans="2:11" x14ac:dyDescent="0.3">
      <c r="B11" s="84" t="s">
        <v>64</v>
      </c>
      <c r="C11" s="83">
        <v>13253</v>
      </c>
      <c r="D11" s="91">
        <f>IF(Salary_Received &lt;= 30000, Salary_Received * 0.1, Salary_Received * 0.2)</f>
        <v>1325.3000000000002</v>
      </c>
      <c r="K11" s="81">
        <f>COUNTIFS(E6:E85,)</f>
        <v>0</v>
      </c>
    </row>
    <row r="12" spans="2:11" x14ac:dyDescent="0.3">
      <c r="B12" s="84" t="s">
        <v>65</v>
      </c>
      <c r="C12" s="83">
        <v>25050</v>
      </c>
      <c r="D12" s="91">
        <f>IF(Salary_Received &lt;= 30000, Salary_Received * 0.1, Salary_Received * 0.2)</f>
        <v>2505</v>
      </c>
    </row>
    <row r="13" spans="2:11" x14ac:dyDescent="0.3">
      <c r="B13" s="84" t="s">
        <v>66</v>
      </c>
      <c r="C13" s="83">
        <v>21351</v>
      </c>
      <c r="D13" s="91">
        <f>IF(Salary_Received &lt;= 30000, Salary_Received * 0.1, Salary_Received * 0.2)</f>
        <v>2135.1</v>
      </c>
    </row>
    <row r="14" spans="2:11" x14ac:dyDescent="0.3">
      <c r="B14" s="84" t="s">
        <v>61</v>
      </c>
      <c r="C14" s="83">
        <v>42953</v>
      </c>
      <c r="D14" s="91">
        <f>IF(Salary_Received &lt;= 30000, Salary_Received * 0.1, Salary_Received * 0.2)</f>
        <v>8590.6</v>
      </c>
    </row>
    <row r="15" spans="2:11" x14ac:dyDescent="0.3">
      <c r="B15" s="84" t="s">
        <v>64</v>
      </c>
      <c r="C15" s="83">
        <v>27694</v>
      </c>
      <c r="D15" s="91">
        <f>IF(Salary_Received &lt;= 30000, Salary_Received * 0.1, Salary_Received * 0.2)</f>
        <v>2769.4</v>
      </c>
    </row>
    <row r="16" spans="2:11" x14ac:dyDescent="0.3">
      <c r="B16" s="84" t="s">
        <v>65</v>
      </c>
      <c r="C16" s="83">
        <v>17242</v>
      </c>
      <c r="D16" s="91">
        <f>IF(Salary_Received &lt;= 30000, Salary_Received * 0.1, Salary_Received * 0.2)</f>
        <v>1724.2</v>
      </c>
    </row>
    <row r="17" spans="2:4" x14ac:dyDescent="0.3">
      <c r="B17" s="84" t="s">
        <v>66</v>
      </c>
      <c r="C17" s="83">
        <v>17607</v>
      </c>
      <c r="D17" s="92">
        <f>IF(Salary_Received &lt;= 30000, Salary_Received * 0.1, Salary_Received * 0.2)</f>
        <v>1760.7</v>
      </c>
    </row>
    <row r="18" spans="2:4" x14ac:dyDescent="0.3">
      <c r="B18" s="84" t="s">
        <v>61</v>
      </c>
      <c r="C18" s="83">
        <v>19149</v>
      </c>
      <c r="D18" s="92">
        <f>IF(Salary_Received &lt;= 30000, Salary_Received * 0.1, Salary_Received * 0.2)</f>
        <v>1914.9</v>
      </c>
    </row>
    <row r="19" spans="2:4" x14ac:dyDescent="0.3">
      <c r="B19" s="84" t="s">
        <v>67</v>
      </c>
      <c r="C19" s="83">
        <v>12087</v>
      </c>
      <c r="D19" s="92">
        <f>IF(Salary_Received &lt;= 30000, Salary_Received * 0.1, Salary_Received * 0.2)</f>
        <v>1208.7</v>
      </c>
    </row>
    <row r="20" spans="2:4" x14ac:dyDescent="0.3">
      <c r="B20" s="84" t="s">
        <v>68</v>
      </c>
      <c r="C20" s="83">
        <v>25941</v>
      </c>
      <c r="D20" s="92">
        <f>IF(Salary_Received &lt;= 30000, Salary_Received * 0.1, Salary_Received * 0.2)</f>
        <v>2594.1000000000004</v>
      </c>
    </row>
    <row r="21" spans="2:4" x14ac:dyDescent="0.3">
      <c r="B21" s="84" t="s">
        <v>57</v>
      </c>
      <c r="C21" s="83">
        <v>14061</v>
      </c>
      <c r="D21" s="92">
        <f>IF(Salary_Received &lt;= 30000, Salary_Received * 0.1, Salary_Received * 0.2)</f>
        <v>1406.1000000000001</v>
      </c>
    </row>
    <row r="22" spans="2:4" x14ac:dyDescent="0.3">
      <c r="B22" s="84" t="s">
        <v>58</v>
      </c>
      <c r="C22" s="83">
        <v>33692</v>
      </c>
      <c r="D22" s="92">
        <f>IF(Salary_Received &lt;= 30000, Salary_Received * 0.1, Salary_Received * 0.2)</f>
        <v>6738.4000000000005</v>
      </c>
    </row>
    <row r="23" spans="2:4" x14ac:dyDescent="0.3">
      <c r="B23" s="84" t="s">
        <v>69</v>
      </c>
      <c r="C23" s="83">
        <v>15815</v>
      </c>
      <c r="D23" s="92">
        <f>IF(Salary_Received &lt;= 30000, Salary_Received * 0.1, Salary_Received * 0.2)</f>
        <v>1581.5</v>
      </c>
    </row>
    <row r="24" spans="2:4" x14ac:dyDescent="0.3">
      <c r="B24" s="84" t="s">
        <v>70</v>
      </c>
      <c r="C24" s="83">
        <v>14545</v>
      </c>
      <c r="D24" s="92">
        <f>IF(Salary_Received &lt;= 30000, Salary_Received * 0.1, Salary_Received * 0.2)</f>
        <v>1454.5</v>
      </c>
    </row>
    <row r="25" spans="2:4" x14ac:dyDescent="0.3">
      <c r="B25" s="84" t="s">
        <v>71</v>
      </c>
      <c r="C25" s="83">
        <v>32864</v>
      </c>
      <c r="D25" s="92">
        <f>IF(Salary_Received &lt;= 30000, Salary_Received * 0.1, Salary_Received * 0.2)</f>
        <v>6572.8</v>
      </c>
    </row>
    <row r="26" spans="2:4" x14ac:dyDescent="0.3">
      <c r="B26" s="84" t="s">
        <v>72</v>
      </c>
      <c r="C26" s="83">
        <v>21039</v>
      </c>
      <c r="D26" s="92">
        <f>IF(Salary_Received &lt;= 30000, Salary_Received * 0.1, Salary_Received * 0.2)</f>
        <v>2103.9</v>
      </c>
    </row>
    <row r="27" spans="2:4" x14ac:dyDescent="0.3">
      <c r="B27" s="84" t="s">
        <v>73</v>
      </c>
      <c r="C27" s="83">
        <v>24587</v>
      </c>
      <c r="D27" s="92">
        <f>IF(Salary_Received &lt;= 30000, Salary_Received * 0.1, Salary_Received * 0.2)</f>
        <v>2458.7000000000003</v>
      </c>
    </row>
    <row r="28" spans="2:4" x14ac:dyDescent="0.3">
      <c r="B28" s="84" t="s">
        <v>74</v>
      </c>
      <c r="C28" s="83">
        <v>27503</v>
      </c>
      <c r="D28" s="92">
        <f>IF(Salary_Received &lt;= 30000, Salary_Received * 0.1, Salary_Received * 0.2)</f>
        <v>2750.3</v>
      </c>
    </row>
    <row r="29" spans="2:4" x14ac:dyDescent="0.3">
      <c r="B29" s="86" t="s">
        <v>75</v>
      </c>
      <c r="C29" s="83">
        <v>11706</v>
      </c>
      <c r="D29" s="92">
        <f>IF(Salary_Received &lt;= 30000, Salary_Received * 0.1, Salary_Received * 0.2)</f>
        <v>1170.6000000000001</v>
      </c>
    </row>
    <row r="30" spans="2:4" x14ac:dyDescent="0.3">
      <c r="B30" s="84" t="s">
        <v>62</v>
      </c>
      <c r="C30" s="83">
        <v>23204</v>
      </c>
      <c r="D30" s="92">
        <f>IF(Salary_Received &lt;= 30000, Salary_Received * 0.1, Salary_Received * 0.2)</f>
        <v>2320.4</v>
      </c>
    </row>
    <row r="31" spans="2:4" x14ac:dyDescent="0.3">
      <c r="B31" s="84" t="s">
        <v>63</v>
      </c>
      <c r="C31" s="83">
        <v>42242</v>
      </c>
      <c r="D31" s="92">
        <f>IF(Salary_Received &lt;= 30000, Salary_Received * 0.1, Salary_Received * 0.2)</f>
        <v>8448.4</v>
      </c>
    </row>
    <row r="32" spans="2:4" x14ac:dyDescent="0.3">
      <c r="B32" s="84" t="s">
        <v>64</v>
      </c>
      <c r="C32" s="83">
        <v>25168</v>
      </c>
      <c r="D32" s="92">
        <f>IF(Salary_Received &lt;= 30000, Salary_Received * 0.1, Salary_Received * 0.2)</f>
        <v>2516.8000000000002</v>
      </c>
    </row>
    <row r="33" spans="2:4" x14ac:dyDescent="0.3">
      <c r="B33" s="84" t="s">
        <v>65</v>
      </c>
      <c r="C33" s="83">
        <v>35917</v>
      </c>
      <c r="D33" s="92">
        <f>IF(Salary_Received &lt;= 30000, Salary_Received * 0.1, Salary_Received * 0.2)</f>
        <v>7183.4000000000005</v>
      </c>
    </row>
    <row r="34" spans="2:4" x14ac:dyDescent="0.3">
      <c r="B34" s="84" t="s">
        <v>66</v>
      </c>
      <c r="C34" s="83">
        <v>32568</v>
      </c>
      <c r="D34" s="92">
        <f>IF(Salary_Received &lt;= 30000, Salary_Received * 0.1, Salary_Received * 0.2)</f>
        <v>6513.6</v>
      </c>
    </row>
    <row r="35" spans="2:4" x14ac:dyDescent="0.3">
      <c r="B35" s="84" t="s">
        <v>61</v>
      </c>
      <c r="C35" s="83">
        <v>10277</v>
      </c>
      <c r="D35" s="92">
        <f>IF(Salary_Received &lt;= 30000, Salary_Received * 0.1, Salary_Received * 0.2)</f>
        <v>1027.7</v>
      </c>
    </row>
    <row r="36" spans="2:4" x14ac:dyDescent="0.3">
      <c r="B36" s="84" t="s">
        <v>67</v>
      </c>
      <c r="C36" s="83">
        <v>24085</v>
      </c>
      <c r="D36" s="92">
        <f>IF(Salary_Received &lt;= 30000, Salary_Received * 0.1, Salary_Received * 0.2)</f>
        <v>2408.5</v>
      </c>
    </row>
    <row r="37" spans="2:4" x14ac:dyDescent="0.3">
      <c r="B37" s="84" t="s">
        <v>68</v>
      </c>
      <c r="C37" s="83">
        <v>39827</v>
      </c>
      <c r="D37" s="92">
        <f>IF(Salary_Received &lt;= 30000, Salary_Received * 0.1, Salary_Received * 0.2)</f>
        <v>7965.4000000000005</v>
      </c>
    </row>
    <row r="38" spans="2:4" x14ac:dyDescent="0.3">
      <c r="B38" s="84" t="s">
        <v>57</v>
      </c>
      <c r="C38" s="83">
        <v>40183</v>
      </c>
      <c r="D38" s="92">
        <f>IF(Salary_Received &lt;= 30000, Salary_Received * 0.1, Salary_Received * 0.2)</f>
        <v>8036.6</v>
      </c>
    </row>
    <row r="39" spans="2:4" x14ac:dyDescent="0.3">
      <c r="B39" s="84" t="s">
        <v>58</v>
      </c>
      <c r="C39" s="83">
        <v>35116</v>
      </c>
      <c r="D39" s="92">
        <f>IF(Salary_Received &lt;= 30000, Salary_Received * 0.1, Salary_Received * 0.2)</f>
        <v>7023.2000000000007</v>
      </c>
    </row>
    <row r="40" spans="2:4" x14ac:dyDescent="0.3">
      <c r="B40" s="84" t="s">
        <v>58</v>
      </c>
      <c r="C40" s="83">
        <v>47525</v>
      </c>
      <c r="D40" s="92">
        <f>IF(Salary_Received &lt;= 30000, Salary_Received * 0.1, Salary_Received * 0.2)</f>
        <v>9505</v>
      </c>
    </row>
    <row r="41" spans="2:4" x14ac:dyDescent="0.3">
      <c r="B41" s="84" t="s">
        <v>59</v>
      </c>
      <c r="C41" s="83">
        <v>23749</v>
      </c>
      <c r="D41" s="92">
        <f>IF(Salary_Received &lt;= 30000, Salary_Received * 0.1, Salary_Received * 0.2)</f>
        <v>2374.9</v>
      </c>
    </row>
    <row r="42" spans="2:4" x14ac:dyDescent="0.3">
      <c r="B42" s="84" t="s">
        <v>60</v>
      </c>
      <c r="C42" s="83">
        <v>11334</v>
      </c>
      <c r="D42" s="92">
        <f>IF(Salary_Received &lt;= 30000, Salary_Received * 0.1, Salary_Received * 0.2)</f>
        <v>1133.4000000000001</v>
      </c>
    </row>
    <row r="43" spans="2:4" x14ac:dyDescent="0.3">
      <c r="B43" s="84" t="s">
        <v>76</v>
      </c>
      <c r="C43" s="83">
        <v>31999</v>
      </c>
      <c r="D43" s="92">
        <f>IF(Salary_Received &lt;= 30000, Salary_Received * 0.1, Salary_Received * 0.2)</f>
        <v>6399.8</v>
      </c>
    </row>
    <row r="44" spans="2:4" x14ac:dyDescent="0.3">
      <c r="B44" s="84" t="s">
        <v>69</v>
      </c>
      <c r="C44" s="83">
        <v>37277</v>
      </c>
      <c r="D44" s="92">
        <f>IF(Salary_Received &lt;= 30000, Salary_Received * 0.1, Salary_Received * 0.2)</f>
        <v>7455.4000000000005</v>
      </c>
    </row>
    <row r="45" spans="2:4" x14ac:dyDescent="0.3">
      <c r="B45" s="84" t="s">
        <v>70</v>
      </c>
      <c r="C45" s="83">
        <v>16226</v>
      </c>
      <c r="D45" s="92">
        <f>IF(Salary_Received &lt;= 30000, Salary_Received * 0.1, Salary_Received * 0.2)</f>
        <v>1622.6000000000001</v>
      </c>
    </row>
    <row r="46" spans="2:4" x14ac:dyDescent="0.3">
      <c r="B46" s="84" t="s">
        <v>71</v>
      </c>
      <c r="C46" s="83">
        <v>40558</v>
      </c>
      <c r="D46" s="92">
        <f>IF(Salary_Received &lt;= 30000, Salary_Received * 0.1, Salary_Received * 0.2)</f>
        <v>8111.6</v>
      </c>
    </row>
    <row r="47" spans="2:4" x14ac:dyDescent="0.3">
      <c r="B47" s="84" t="s">
        <v>72</v>
      </c>
      <c r="C47" s="83">
        <v>31825</v>
      </c>
      <c r="D47" s="92">
        <f>IF(Salary_Received &lt;= 30000, Salary_Received * 0.1, Salary_Received * 0.2)</f>
        <v>6365</v>
      </c>
    </row>
    <row r="48" spans="2:4" x14ac:dyDescent="0.3">
      <c r="B48" s="84" t="s">
        <v>73</v>
      </c>
      <c r="C48" s="83">
        <v>47518</v>
      </c>
      <c r="D48" s="92">
        <f>IF(Salary_Received &lt;= 30000, Salary_Received * 0.1, Salary_Received * 0.2)</f>
        <v>9503.6</v>
      </c>
    </row>
    <row r="49" spans="2:4" x14ac:dyDescent="0.3">
      <c r="B49" s="84" t="s">
        <v>74</v>
      </c>
      <c r="C49" s="83">
        <v>41117</v>
      </c>
      <c r="D49" s="92">
        <f>IF(Salary_Received &lt;= 30000, Salary_Received * 0.1, Salary_Received * 0.2)</f>
        <v>8223.4</v>
      </c>
    </row>
    <row r="50" spans="2:4" x14ac:dyDescent="0.3">
      <c r="B50" s="84" t="s">
        <v>77</v>
      </c>
      <c r="C50" s="83">
        <v>19008</v>
      </c>
      <c r="D50" s="92">
        <f>IF(Salary_Received &lt;= 30000, Salary_Received * 0.1, Salary_Received * 0.2)</f>
        <v>1900.8000000000002</v>
      </c>
    </row>
    <row r="51" spans="2:4" x14ac:dyDescent="0.3">
      <c r="B51" s="84" t="s">
        <v>78</v>
      </c>
      <c r="C51" s="83">
        <v>13461</v>
      </c>
      <c r="D51" s="92">
        <f>IF(Salary_Received &lt;= 30000, Salary_Received * 0.1, Salary_Received * 0.2)</f>
        <v>1346.1000000000001</v>
      </c>
    </row>
    <row r="52" spans="2:4" x14ac:dyDescent="0.3">
      <c r="B52" s="84" t="s">
        <v>79</v>
      </c>
      <c r="C52" s="83">
        <v>42722</v>
      </c>
      <c r="D52" s="92">
        <f>IF(Salary_Received &lt;= 30000, Salary_Received * 0.1, Salary_Received * 0.2)</f>
        <v>8544.4</v>
      </c>
    </row>
    <row r="53" spans="2:4" x14ac:dyDescent="0.3">
      <c r="B53" s="84" t="s">
        <v>80</v>
      </c>
      <c r="C53" s="83">
        <v>15884</v>
      </c>
      <c r="D53" s="92">
        <f>IF(Salary_Received &lt;= 30000, Salary_Received * 0.1, Salary_Received * 0.2)</f>
        <v>1588.4</v>
      </c>
    </row>
    <row r="54" spans="2:4" x14ac:dyDescent="0.3">
      <c r="B54" s="84" t="s">
        <v>81</v>
      </c>
      <c r="C54" s="83">
        <v>20096</v>
      </c>
      <c r="D54" s="92">
        <f>IF(Salary_Received &lt;= 30000, Salary_Received * 0.1, Salary_Received * 0.2)</f>
        <v>2009.6000000000001</v>
      </c>
    </row>
    <row r="55" spans="2:4" x14ac:dyDescent="0.3">
      <c r="B55" s="84" t="s">
        <v>82</v>
      </c>
      <c r="C55" s="83">
        <v>35593</v>
      </c>
      <c r="D55" s="92">
        <f>IF(Salary_Received &lt;= 30000, Salary_Received * 0.1, Salary_Received * 0.2)</f>
        <v>7118.6</v>
      </c>
    </row>
    <row r="56" spans="2:4" x14ac:dyDescent="0.3">
      <c r="B56" s="84" t="s">
        <v>75</v>
      </c>
      <c r="C56" s="83">
        <v>33295</v>
      </c>
      <c r="D56" s="92">
        <f>IF(Salary_Received &lt;= 30000, Salary_Received * 0.1, Salary_Received * 0.2)</f>
        <v>6659</v>
      </c>
    </row>
    <row r="57" spans="2:4" x14ac:dyDescent="0.3">
      <c r="B57" s="84" t="s">
        <v>64</v>
      </c>
      <c r="C57" s="83">
        <v>17337</v>
      </c>
      <c r="D57" s="92">
        <f>IF(Salary_Received &lt;= 30000, Salary_Received * 0.1, Salary_Received * 0.2)</f>
        <v>1733.7</v>
      </c>
    </row>
    <row r="58" spans="2:4" x14ac:dyDescent="0.3">
      <c r="B58" s="84" t="s">
        <v>65</v>
      </c>
      <c r="C58" s="83">
        <v>45895</v>
      </c>
      <c r="D58" s="92">
        <f>IF(Salary_Received &lt;= 30000, Salary_Received * 0.1, Salary_Received * 0.2)</f>
        <v>9179</v>
      </c>
    </row>
    <row r="59" spans="2:4" x14ac:dyDescent="0.3">
      <c r="B59" s="84" t="s">
        <v>66</v>
      </c>
      <c r="C59" s="83">
        <v>48193</v>
      </c>
      <c r="D59" s="92">
        <f>IF(Salary_Received &lt;= 30000, Salary_Received * 0.1, Salary_Received * 0.2)</f>
        <v>9638.6</v>
      </c>
    </row>
    <row r="60" spans="2:4" x14ac:dyDescent="0.3">
      <c r="B60" s="84" t="s">
        <v>61</v>
      </c>
      <c r="C60" s="83">
        <v>23342</v>
      </c>
      <c r="D60" s="92">
        <f>IF(Salary_Received &lt;= 30000, Salary_Received * 0.1, Salary_Received * 0.2)</f>
        <v>2334.2000000000003</v>
      </c>
    </row>
    <row r="61" spans="2:4" x14ac:dyDescent="0.3">
      <c r="B61" s="84" t="s">
        <v>67</v>
      </c>
      <c r="C61" s="83">
        <v>31477</v>
      </c>
      <c r="D61" s="92">
        <f>IF(Salary_Received &lt;= 30000, Salary_Received * 0.1, Salary_Received * 0.2)</f>
        <v>6295.4000000000005</v>
      </c>
    </row>
    <row r="62" spans="2:4" x14ac:dyDescent="0.3">
      <c r="B62" s="84" t="s">
        <v>68</v>
      </c>
      <c r="C62" s="83">
        <v>47817</v>
      </c>
      <c r="D62" s="92">
        <f>IF(Salary_Received &lt;= 30000, Salary_Received * 0.1, Salary_Received * 0.2)</f>
        <v>9563.4</v>
      </c>
    </row>
    <row r="63" spans="2:4" x14ac:dyDescent="0.3">
      <c r="B63" s="84" t="s">
        <v>57</v>
      </c>
      <c r="C63" s="83">
        <v>40912</v>
      </c>
      <c r="D63" s="92">
        <f>IF(Salary_Received &lt;= 30000, Salary_Received * 0.1, Salary_Received * 0.2)</f>
        <v>8182.4000000000005</v>
      </c>
    </row>
    <row r="64" spans="2:4" x14ac:dyDescent="0.3">
      <c r="B64" s="84" t="s">
        <v>58</v>
      </c>
      <c r="C64" s="83">
        <v>21803</v>
      </c>
      <c r="D64" s="92">
        <f>IF(Salary_Received &lt;= 30000, Salary_Received * 0.1, Salary_Received * 0.2)</f>
        <v>2180.3000000000002</v>
      </c>
    </row>
    <row r="65" spans="2:4" x14ac:dyDescent="0.3">
      <c r="B65" s="84" t="s">
        <v>69</v>
      </c>
      <c r="C65" s="83">
        <v>10819</v>
      </c>
      <c r="D65" s="92">
        <f>IF(Salary_Received &lt;= 30000, Salary_Received * 0.1, Salary_Received * 0.2)</f>
        <v>1081.9000000000001</v>
      </c>
    </row>
    <row r="66" spans="2:4" x14ac:dyDescent="0.3">
      <c r="B66" s="84" t="s">
        <v>70</v>
      </c>
      <c r="C66" s="83">
        <v>16317</v>
      </c>
      <c r="D66" s="92">
        <f>IF(Salary_Received &lt;= 30000, Salary_Received * 0.1, Salary_Received * 0.2)</f>
        <v>1631.7</v>
      </c>
    </row>
    <row r="67" spans="2:4" x14ac:dyDescent="0.3">
      <c r="B67" s="84" t="s">
        <v>70</v>
      </c>
      <c r="C67" s="83">
        <v>27816</v>
      </c>
      <c r="D67" s="92">
        <f>IF(Salary_Received &lt;= 30000, Salary_Received * 0.1, Salary_Received * 0.2)</f>
        <v>2781.6000000000004</v>
      </c>
    </row>
    <row r="68" spans="2:4" x14ac:dyDescent="0.3">
      <c r="B68" s="84" t="s">
        <v>71</v>
      </c>
      <c r="C68" s="83">
        <v>11453</v>
      </c>
      <c r="D68" s="92">
        <f>IF(Salary_Received &lt;= 30000, Salary_Received * 0.1, Salary_Received * 0.2)</f>
        <v>1145.3</v>
      </c>
    </row>
    <row r="69" spans="2:4" x14ac:dyDescent="0.3">
      <c r="B69" s="84" t="s">
        <v>72</v>
      </c>
      <c r="C69" s="83">
        <v>40438</v>
      </c>
      <c r="D69" s="92">
        <f>IF(Salary_Received &lt;= 30000, Salary_Received * 0.1, Salary_Received * 0.2)</f>
        <v>8087.6</v>
      </c>
    </row>
    <row r="70" spans="2:4" x14ac:dyDescent="0.3">
      <c r="B70" s="84" t="s">
        <v>73</v>
      </c>
      <c r="C70" s="83">
        <v>14885</v>
      </c>
      <c r="D70" s="92">
        <f>IF(Salary_Received &lt;= 30000, Salary_Received * 0.1, Salary_Received * 0.2)</f>
        <v>1488.5</v>
      </c>
    </row>
    <row r="71" spans="2:4" x14ac:dyDescent="0.3">
      <c r="B71" s="84" t="s">
        <v>69</v>
      </c>
      <c r="C71" s="83">
        <v>49105</v>
      </c>
      <c r="D71" s="92">
        <f>IF(Salary_Received &lt;= 30000, Salary_Received * 0.1, Salary_Received * 0.2)</f>
        <v>9821</v>
      </c>
    </row>
    <row r="72" spans="2:4" x14ac:dyDescent="0.3">
      <c r="B72" s="84" t="s">
        <v>70</v>
      </c>
      <c r="C72" s="83">
        <v>45013</v>
      </c>
      <c r="D72" s="92">
        <f>IF(Salary_Received &lt;= 30000, Salary_Received * 0.1, Salary_Received * 0.2)</f>
        <v>9002.6</v>
      </c>
    </row>
    <row r="73" spans="2:4" x14ac:dyDescent="0.3">
      <c r="B73" s="84" t="s">
        <v>71</v>
      </c>
      <c r="C73" s="83">
        <v>48754</v>
      </c>
      <c r="D73" s="92">
        <f>IF(Salary_Received &lt;= 30000, Salary_Received * 0.1, Salary_Received * 0.2)</f>
        <v>9750.8000000000011</v>
      </c>
    </row>
    <row r="74" spans="2:4" x14ac:dyDescent="0.3">
      <c r="B74" s="84" t="s">
        <v>72</v>
      </c>
      <c r="C74" s="83">
        <v>12103</v>
      </c>
      <c r="D74" s="92">
        <f>IF(Salary_Received &lt;= 30000, Salary_Received * 0.1, Salary_Received * 0.2)</f>
        <v>1210.3</v>
      </c>
    </row>
    <row r="75" spans="2:4" x14ac:dyDescent="0.3">
      <c r="B75" s="84" t="s">
        <v>73</v>
      </c>
      <c r="C75" s="83">
        <v>39287</v>
      </c>
      <c r="D75" s="92">
        <f>IF(Salary_Received &lt;= 30000, Salary_Received * 0.1, Salary_Received * 0.2)</f>
        <v>7857.4000000000005</v>
      </c>
    </row>
    <row r="76" spans="2:4" x14ac:dyDescent="0.3">
      <c r="B76" s="84" t="s">
        <v>74</v>
      </c>
      <c r="C76" s="83">
        <v>37438</v>
      </c>
      <c r="D76" s="92">
        <f>IF(Salary_Received &lt;= 30000, Salary_Received * 0.1, Salary_Received * 0.2)</f>
        <v>7487.6</v>
      </c>
    </row>
    <row r="77" spans="2:4" x14ac:dyDescent="0.3">
      <c r="B77" s="84" t="s">
        <v>77</v>
      </c>
      <c r="C77" s="83">
        <v>33344</v>
      </c>
      <c r="D77" s="92">
        <f>IF(Salary_Received &lt;= 30000, Salary_Received * 0.1, Salary_Received * 0.2)</f>
        <v>6668.8</v>
      </c>
    </row>
    <row r="78" spans="2:4" x14ac:dyDescent="0.3">
      <c r="B78" s="84" t="s">
        <v>78</v>
      </c>
      <c r="C78" s="83">
        <v>21761</v>
      </c>
      <c r="D78" s="92">
        <f>IF(Salary_Received &lt;= 30000, Salary_Received * 0.1, Salary_Received * 0.2)</f>
        <v>2176.1</v>
      </c>
    </row>
    <row r="79" spans="2:4" x14ac:dyDescent="0.3">
      <c r="B79" s="84" t="s">
        <v>79</v>
      </c>
      <c r="C79" s="83">
        <v>38211</v>
      </c>
      <c r="D79" s="92">
        <f>IF(Salary_Received &lt;= 30000, Salary_Received * 0.1, Salary_Received * 0.2)</f>
        <v>7642.2000000000007</v>
      </c>
    </row>
    <row r="80" spans="2:4" x14ac:dyDescent="0.3">
      <c r="B80" s="84" t="s">
        <v>80</v>
      </c>
      <c r="C80" s="83">
        <v>19286</v>
      </c>
      <c r="D80" s="92">
        <f>IF(Salary_Received &lt;= 30000, Salary_Received * 0.1, Salary_Received * 0.2)</f>
        <v>1928.6000000000001</v>
      </c>
    </row>
    <row r="81" spans="2:4" x14ac:dyDescent="0.3">
      <c r="B81" s="84" t="s">
        <v>70</v>
      </c>
      <c r="C81" s="83">
        <v>35675</v>
      </c>
      <c r="D81" s="92">
        <f>IF(Salary_Received &lt;= 30000, Salary_Received * 0.1, Salary_Received * 0.2)</f>
        <v>7135</v>
      </c>
    </row>
    <row r="82" spans="2:4" x14ac:dyDescent="0.3">
      <c r="B82" s="84" t="s">
        <v>71</v>
      </c>
      <c r="C82" s="83">
        <v>26486</v>
      </c>
      <c r="D82" s="92">
        <f>IF(Salary_Received &lt;= 30000, Salary_Received * 0.1, Salary_Received * 0.2)</f>
        <v>2648.6000000000004</v>
      </c>
    </row>
    <row r="83" spans="2:4" x14ac:dyDescent="0.3">
      <c r="B83" s="84" t="s">
        <v>72</v>
      </c>
      <c r="C83" s="83">
        <v>30435</v>
      </c>
      <c r="D83" s="92">
        <f>IF(Salary_Received &lt;= 30000, Salary_Received * 0.1, Salary_Received * 0.2)</f>
        <v>6087</v>
      </c>
    </row>
    <row r="84" spans="2:4" x14ac:dyDescent="0.3">
      <c r="B84" s="84" t="s">
        <v>73</v>
      </c>
      <c r="C84" s="83">
        <v>39847</v>
      </c>
      <c r="D84" s="92">
        <f>IF(Salary_Received &lt;= 30000, Salary_Received * 0.1, Salary_Received * 0.2)</f>
        <v>7969.4000000000005</v>
      </c>
    </row>
    <row r="85" spans="2:4" x14ac:dyDescent="0.3">
      <c r="B85" s="84" t="s">
        <v>73</v>
      </c>
      <c r="C85" s="83">
        <v>25141</v>
      </c>
      <c r="D85" s="92">
        <f>IF(Salary_Received &lt;= 30000, Salary_Received * 0.1, Salary_Received * 0.2)</f>
        <v>2514.1000000000004</v>
      </c>
    </row>
    <row r="86" spans="2:4" x14ac:dyDescent="0.3">
      <c r="B86" s="84" t="s">
        <v>74</v>
      </c>
      <c r="C86" s="83">
        <v>37502</v>
      </c>
      <c r="D86" s="92">
        <f>IF(Salary_Received &lt;= 30000, Salary_Received * 0.1, Salary_Received * 0.2)</f>
        <v>7500.4000000000005</v>
      </c>
    </row>
    <row r="87" spans="2:4" x14ac:dyDescent="0.3">
      <c r="B87" s="86" t="s">
        <v>75</v>
      </c>
      <c r="C87" s="83">
        <v>21115</v>
      </c>
      <c r="D87" s="92">
        <f>IF(Salary_Received &lt;= 30000, Salary_Received * 0.1, Salary_Received * 0.2)</f>
        <v>2111.5</v>
      </c>
    </row>
    <row r="88" spans="2:4" x14ac:dyDescent="0.3">
      <c r="B88" s="84" t="s">
        <v>62</v>
      </c>
      <c r="C88" s="83">
        <v>20482</v>
      </c>
      <c r="D88" s="92">
        <f>IF(Salary_Received &lt;= 30000, Salary_Received * 0.1, Salary_Received * 0.2)</f>
        <v>2048.2000000000003</v>
      </c>
    </row>
    <row r="89" spans="2:4" x14ac:dyDescent="0.3">
      <c r="B89" s="84" t="s">
        <v>63</v>
      </c>
      <c r="C89" s="83">
        <v>44866</v>
      </c>
      <c r="D89" s="92">
        <f>IF(Salary_Received &lt;= 30000, Salary_Received * 0.1, Salary_Received * 0.2)</f>
        <v>8973.2000000000007</v>
      </c>
    </row>
    <row r="90" spans="2:4" x14ac:dyDescent="0.3">
      <c r="B90" s="84" t="s">
        <v>64</v>
      </c>
      <c r="C90" s="83">
        <v>38787</v>
      </c>
      <c r="D90" s="92">
        <f>IF(Salary_Received &lt;= 30000, Salary_Received * 0.1, Salary_Received * 0.2)</f>
        <v>7757.4000000000005</v>
      </c>
    </row>
    <row r="91" spans="2:4" x14ac:dyDescent="0.3">
      <c r="B91" s="84" t="s">
        <v>65</v>
      </c>
      <c r="C91" s="83">
        <v>38969</v>
      </c>
      <c r="D91" s="92">
        <f>IF(Salary_Received &lt;= 30000, Salary_Received * 0.1, Salary_Received * 0.2)</f>
        <v>7793.8</v>
      </c>
    </row>
    <row r="92" spans="2:4" x14ac:dyDescent="0.3">
      <c r="B92" s="84" t="s">
        <v>66</v>
      </c>
      <c r="C92" s="83">
        <v>23920</v>
      </c>
      <c r="D92" s="92">
        <f>IF(Salary_Received &lt;= 30000, Salary_Received * 0.1, Salary_Received * 0.2)</f>
        <v>2392</v>
      </c>
    </row>
    <row r="93" spans="2:4" x14ac:dyDescent="0.3">
      <c r="B93" s="84" t="s">
        <v>61</v>
      </c>
      <c r="C93" s="83">
        <v>49147</v>
      </c>
      <c r="D93" s="92">
        <f>IF(Salary_Received &lt;= 30000, Salary_Received * 0.1, Salary_Received * 0.2)</f>
        <v>9829.4000000000015</v>
      </c>
    </row>
    <row r="94" spans="2:4" x14ac:dyDescent="0.3">
      <c r="B94" s="84" t="s">
        <v>67</v>
      </c>
      <c r="C94" s="83">
        <v>43962</v>
      </c>
      <c r="D94" s="92">
        <f>IF(Salary_Received &lt;= 30000, Salary_Received * 0.1, Salary_Received * 0.2)</f>
        <v>8792.4</v>
      </c>
    </row>
    <row r="95" spans="2:4" ht="13.8" thickBot="1" x14ac:dyDescent="0.35">
      <c r="B95" s="87" t="s">
        <v>68</v>
      </c>
      <c r="C95" s="83">
        <v>24728</v>
      </c>
      <c r="D95" s="92">
        <f>IF(Salary_Received &lt;= 30000, Salary_Received * 0.1, Salary_Received * 0.2)</f>
        <v>2472.8000000000002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ACCA-64B3-44E7-9D69-3F84765B5ED0}">
  <dimension ref="B4:G16"/>
  <sheetViews>
    <sheetView zoomScale="140" zoomScaleNormal="140" workbookViewId="0">
      <selection activeCell="F14" sqref="F14"/>
    </sheetView>
  </sheetViews>
  <sheetFormatPr defaultColWidth="8.77734375" defaultRowHeight="13.2" x14ac:dyDescent="0.25"/>
  <cols>
    <col min="1" max="1" width="8.77734375" style="96"/>
    <col min="2" max="2" width="16" style="96" customWidth="1"/>
    <col min="3" max="3" width="18.6640625" style="96" customWidth="1"/>
    <col min="4" max="4" width="11.21875" style="96" customWidth="1"/>
    <col min="5" max="6" width="11.44140625" style="96" customWidth="1"/>
    <col min="7" max="7" width="28.44140625" style="96" bestFit="1" customWidth="1"/>
    <col min="8" max="16384" width="8.77734375" style="96"/>
  </cols>
  <sheetData>
    <row r="4" spans="2:7" x14ac:dyDescent="0.25">
      <c r="B4" s="101" t="s">
        <v>150</v>
      </c>
      <c r="F4" s="106" t="s">
        <v>244</v>
      </c>
      <c r="G4" s="106"/>
    </row>
    <row r="6" spans="2:7" x14ac:dyDescent="0.25">
      <c r="B6" s="98" t="s">
        <v>151</v>
      </c>
      <c r="C6" s="98" t="s">
        <v>152</v>
      </c>
      <c r="D6" s="98" t="s">
        <v>153</v>
      </c>
      <c r="F6" s="103">
        <v>1</v>
      </c>
      <c r="G6" s="104" t="s">
        <v>232</v>
      </c>
    </row>
    <row r="7" spans="2:7" x14ac:dyDescent="0.25">
      <c r="B7" s="100" t="s">
        <v>154</v>
      </c>
      <c r="C7" s="100">
        <v>6</v>
      </c>
      <c r="D7" s="107">
        <f>_xlfn.IFS(No_Hours_Parked&gt;8, (No_Hours_Parked*1), No_Hours_Parked&gt;5, (No_Hours_Parked*1.5),AND(No_Hours_Parked&gt;=0, No_Hours_Parked &lt;=5),"Free Parking")</f>
        <v>9</v>
      </c>
      <c r="F7" s="103">
        <v>2</v>
      </c>
      <c r="G7" s="104" t="s">
        <v>233</v>
      </c>
    </row>
    <row r="8" spans="2:7" x14ac:dyDescent="0.25">
      <c r="B8" s="100" t="s">
        <v>155</v>
      </c>
      <c r="C8" s="100">
        <v>12</v>
      </c>
      <c r="D8" s="107">
        <f>_xlfn.IFS(No_Hours_Parked&gt;8, (No_Hours_Parked*1), No_Hours_Parked&gt;5, (No_Hours_Parked*1.5),AND(No_Hours_Parked&gt;=0, No_Hours_Parked &lt;=5),"Free Parking")</f>
        <v>12</v>
      </c>
      <c r="F8" s="103">
        <v>3</v>
      </c>
      <c r="G8" s="104" t="s">
        <v>156</v>
      </c>
    </row>
    <row r="9" spans="2:7" x14ac:dyDescent="0.25">
      <c r="B9" s="100" t="s">
        <v>157</v>
      </c>
      <c r="C9" s="100">
        <v>8</v>
      </c>
      <c r="D9" s="107">
        <f>_xlfn.IFS(No_Hours_Parked&gt;8, (No_Hours_Parked*1), No_Hours_Parked&gt;5, (No_Hours_Parked*1.5),AND(No_Hours_Parked&gt;=0, No_Hours_Parked &lt;=5),"Free Parking")</f>
        <v>12</v>
      </c>
    </row>
    <row r="10" spans="2:7" x14ac:dyDescent="0.25">
      <c r="B10" s="100" t="s">
        <v>158</v>
      </c>
      <c r="C10" s="100">
        <v>11</v>
      </c>
      <c r="D10" s="107">
        <f>_xlfn.IFS(No_Hours_Parked&gt;8, (No_Hours_Parked*1), No_Hours_Parked&gt;5, (No_Hours_Parked*1.5),AND(No_Hours_Parked&gt;=0, No_Hours_Parked &lt;=5),"Free Parking")</f>
        <v>11</v>
      </c>
    </row>
    <row r="11" spans="2:7" x14ac:dyDescent="0.25">
      <c r="B11" s="100" t="s">
        <v>159</v>
      </c>
      <c r="C11" s="100">
        <v>5</v>
      </c>
      <c r="D11" s="107" t="str">
        <f>_xlfn.IFS(No_Hours_Parked&gt;8, (No_Hours_Parked*1), No_Hours_Parked&gt;5, (No_Hours_Parked*1.5),AND(No_Hours_Parked&gt;=0, No_Hours_Parked &lt;=5),"Free Parking")</f>
        <v>Free Parking</v>
      </c>
    </row>
    <row r="12" spans="2:7" x14ac:dyDescent="0.25">
      <c r="B12" s="100" t="s">
        <v>160</v>
      </c>
      <c r="C12" s="100">
        <v>3</v>
      </c>
      <c r="D12" s="107" t="str">
        <f>_xlfn.IFS(No_Hours_Parked&gt;8, (No_Hours_Parked*1), No_Hours_Parked&gt;5, (No_Hours_Parked*1.5),AND(No_Hours_Parked&gt;=0, No_Hours_Parked &lt;=5),"Free Parking")</f>
        <v>Free Parking</v>
      </c>
    </row>
    <row r="13" spans="2:7" x14ac:dyDescent="0.25">
      <c r="B13" s="100" t="s">
        <v>161</v>
      </c>
      <c r="C13" s="100">
        <v>12</v>
      </c>
      <c r="D13" s="107">
        <f>_xlfn.IFS(No_Hours_Parked&gt;8, (No_Hours_Parked*1), No_Hours_Parked&gt;5, (No_Hours_Parked*1.5),AND(No_Hours_Parked&gt;=0, No_Hours_Parked &lt;=5),"Free Parking")</f>
        <v>12</v>
      </c>
    </row>
    <row r="14" spans="2:7" x14ac:dyDescent="0.25">
      <c r="B14" s="100" t="s">
        <v>162</v>
      </c>
      <c r="C14" s="100">
        <v>7</v>
      </c>
      <c r="D14" s="107">
        <f>_xlfn.IFS(No_Hours_Parked&gt;8, (No_Hours_Parked*1), No_Hours_Parked&gt;5, (No_Hours_Parked*1.5),AND(No_Hours_Parked&gt;=0, No_Hours_Parked &lt;=5),"Free Parking")</f>
        <v>10.5</v>
      </c>
    </row>
    <row r="15" spans="2:7" x14ac:dyDescent="0.25">
      <c r="B15" s="100" t="s">
        <v>163</v>
      </c>
      <c r="C15" s="100">
        <v>1</v>
      </c>
      <c r="D15" s="107" t="str">
        <f>_xlfn.IFS(No_Hours_Parked&gt;8, (No_Hours_Parked*1), No_Hours_Parked&gt;5, (No_Hours_Parked*1.5),AND(No_Hours_Parked&gt;=0, No_Hours_Parked &lt;=5),"Free Parking")</f>
        <v>Free Parking</v>
      </c>
    </row>
    <row r="16" spans="2:7" x14ac:dyDescent="0.25">
      <c r="B16" s="100" t="s">
        <v>164</v>
      </c>
      <c r="C16" s="100">
        <v>6</v>
      </c>
      <c r="D16" s="107">
        <f>_xlfn.IFS(No_Hours_Parked&gt;8, (No_Hours_Parked*1), No_Hours_Parked&gt;5, (No_Hours_Parked*1.5),AND(No_Hours_Parked&gt;=0, No_Hours_Parked &lt;=5),"Free Parking")</f>
        <v>9</v>
      </c>
    </row>
  </sheetData>
  <mergeCells count="1">
    <mergeCell ref="F4:G4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1520-BEE9-401E-BB18-409FBB281E06}">
  <dimension ref="B1:O95"/>
  <sheetViews>
    <sheetView zoomScale="115" zoomScaleNormal="115" workbookViewId="0">
      <selection activeCell="K27" sqref="K27"/>
    </sheetView>
  </sheetViews>
  <sheetFormatPr defaultColWidth="8.77734375" defaultRowHeight="13.8" x14ac:dyDescent="0.25"/>
  <cols>
    <col min="1" max="1" width="9.109375" style="50"/>
    <col min="2" max="2" width="10.44140625" style="50" customWidth="1"/>
    <col min="3" max="3" width="9.109375" style="50"/>
    <col min="4" max="4" width="15.44140625" style="50" customWidth="1"/>
    <col min="5" max="5" width="11.5546875" style="50" bestFit="1" customWidth="1"/>
    <col min="6" max="6" width="9.109375" style="108"/>
    <col min="7" max="9" width="9.109375" style="50"/>
    <col min="10" max="10" width="34.88671875" style="50" bestFit="1" customWidth="1"/>
    <col min="11" max="260" width="9.109375" style="50"/>
    <col min="261" max="261" width="10.44140625" style="50" customWidth="1"/>
    <col min="262" max="265" width="9.109375" style="50"/>
    <col min="266" max="266" width="14.44140625" style="50" customWidth="1"/>
    <col min="267" max="516" width="9.109375" style="50"/>
    <col min="517" max="517" width="10.44140625" style="50" customWidth="1"/>
    <col min="518" max="521" width="9.109375" style="50"/>
    <col min="522" max="522" width="14.44140625" style="50" customWidth="1"/>
    <col min="523" max="772" width="9.109375" style="50"/>
    <col min="773" max="773" width="10.44140625" style="50" customWidth="1"/>
    <col min="774" max="777" width="9.109375" style="50"/>
    <col min="778" max="778" width="14.44140625" style="50" customWidth="1"/>
    <col min="779" max="1028" width="9.109375" style="50"/>
    <col min="1029" max="1029" width="10.44140625" style="50" customWidth="1"/>
    <col min="1030" max="1033" width="9.109375" style="50"/>
    <col min="1034" max="1034" width="14.44140625" style="50" customWidth="1"/>
    <col min="1035" max="1284" width="9.109375" style="50"/>
    <col min="1285" max="1285" width="10.44140625" style="50" customWidth="1"/>
    <col min="1286" max="1289" width="9.109375" style="50"/>
    <col min="1290" max="1290" width="14.44140625" style="50" customWidth="1"/>
    <col min="1291" max="1540" width="9.109375" style="50"/>
    <col min="1541" max="1541" width="10.44140625" style="50" customWidth="1"/>
    <col min="1542" max="1545" width="9.109375" style="50"/>
    <col min="1546" max="1546" width="14.44140625" style="50" customWidth="1"/>
    <col min="1547" max="1796" width="9.109375" style="50"/>
    <col min="1797" max="1797" width="10.44140625" style="50" customWidth="1"/>
    <col min="1798" max="1801" width="9.109375" style="50"/>
    <col min="1802" max="1802" width="14.44140625" style="50" customWidth="1"/>
    <col min="1803" max="2052" width="9.109375" style="50"/>
    <col min="2053" max="2053" width="10.44140625" style="50" customWidth="1"/>
    <col min="2054" max="2057" width="9.109375" style="50"/>
    <col min="2058" max="2058" width="14.44140625" style="50" customWidth="1"/>
    <col min="2059" max="2308" width="9.109375" style="50"/>
    <col min="2309" max="2309" width="10.44140625" style="50" customWidth="1"/>
    <col min="2310" max="2313" width="9.109375" style="50"/>
    <col min="2314" max="2314" width="14.44140625" style="50" customWidth="1"/>
    <col min="2315" max="2564" width="9.109375" style="50"/>
    <col min="2565" max="2565" width="10.44140625" style="50" customWidth="1"/>
    <col min="2566" max="2569" width="9.109375" style="50"/>
    <col min="2570" max="2570" width="14.44140625" style="50" customWidth="1"/>
    <col min="2571" max="2820" width="9.109375" style="50"/>
    <col min="2821" max="2821" width="10.44140625" style="50" customWidth="1"/>
    <col min="2822" max="2825" width="9.109375" style="50"/>
    <col min="2826" max="2826" width="14.44140625" style="50" customWidth="1"/>
    <col min="2827" max="3076" width="9.109375" style="50"/>
    <col min="3077" max="3077" width="10.44140625" style="50" customWidth="1"/>
    <col min="3078" max="3081" width="9.109375" style="50"/>
    <col min="3082" max="3082" width="14.44140625" style="50" customWidth="1"/>
    <col min="3083" max="3332" width="9.109375" style="50"/>
    <col min="3333" max="3333" width="10.44140625" style="50" customWidth="1"/>
    <col min="3334" max="3337" width="9.109375" style="50"/>
    <col min="3338" max="3338" width="14.44140625" style="50" customWidth="1"/>
    <col min="3339" max="3588" width="9.109375" style="50"/>
    <col min="3589" max="3589" width="10.44140625" style="50" customWidth="1"/>
    <col min="3590" max="3593" width="9.109375" style="50"/>
    <col min="3594" max="3594" width="14.44140625" style="50" customWidth="1"/>
    <col min="3595" max="3844" width="9.109375" style="50"/>
    <col min="3845" max="3845" width="10.44140625" style="50" customWidth="1"/>
    <col min="3846" max="3849" width="9.109375" style="50"/>
    <col min="3850" max="3850" width="14.44140625" style="50" customWidth="1"/>
    <col min="3851" max="4100" width="9.109375" style="50"/>
    <col min="4101" max="4101" width="10.44140625" style="50" customWidth="1"/>
    <col min="4102" max="4105" width="9.109375" style="50"/>
    <col min="4106" max="4106" width="14.44140625" style="50" customWidth="1"/>
    <col min="4107" max="4356" width="9.109375" style="50"/>
    <col min="4357" max="4357" width="10.44140625" style="50" customWidth="1"/>
    <col min="4358" max="4361" width="9.109375" style="50"/>
    <col min="4362" max="4362" width="14.44140625" style="50" customWidth="1"/>
    <col min="4363" max="4612" width="9.109375" style="50"/>
    <col min="4613" max="4613" width="10.44140625" style="50" customWidth="1"/>
    <col min="4614" max="4617" width="9.109375" style="50"/>
    <col min="4618" max="4618" width="14.44140625" style="50" customWidth="1"/>
    <col min="4619" max="4868" width="9.109375" style="50"/>
    <col min="4869" max="4869" width="10.44140625" style="50" customWidth="1"/>
    <col min="4870" max="4873" width="9.109375" style="50"/>
    <col min="4874" max="4874" width="14.44140625" style="50" customWidth="1"/>
    <col min="4875" max="5124" width="9.109375" style="50"/>
    <col min="5125" max="5125" width="10.44140625" style="50" customWidth="1"/>
    <col min="5126" max="5129" width="9.109375" style="50"/>
    <col min="5130" max="5130" width="14.44140625" style="50" customWidth="1"/>
    <col min="5131" max="5380" width="9.109375" style="50"/>
    <col min="5381" max="5381" width="10.44140625" style="50" customWidth="1"/>
    <col min="5382" max="5385" width="9.109375" style="50"/>
    <col min="5386" max="5386" width="14.44140625" style="50" customWidth="1"/>
    <col min="5387" max="5636" width="9.109375" style="50"/>
    <col min="5637" max="5637" width="10.44140625" style="50" customWidth="1"/>
    <col min="5638" max="5641" width="9.109375" style="50"/>
    <col min="5642" max="5642" width="14.44140625" style="50" customWidth="1"/>
    <col min="5643" max="5892" width="9.109375" style="50"/>
    <col min="5893" max="5893" width="10.44140625" style="50" customWidth="1"/>
    <col min="5894" max="5897" width="9.109375" style="50"/>
    <col min="5898" max="5898" width="14.44140625" style="50" customWidth="1"/>
    <col min="5899" max="6148" width="9.109375" style="50"/>
    <col min="6149" max="6149" width="10.44140625" style="50" customWidth="1"/>
    <col min="6150" max="6153" width="9.109375" style="50"/>
    <col min="6154" max="6154" width="14.44140625" style="50" customWidth="1"/>
    <col min="6155" max="6404" width="9.109375" style="50"/>
    <col min="6405" max="6405" width="10.44140625" style="50" customWidth="1"/>
    <col min="6406" max="6409" width="9.109375" style="50"/>
    <col min="6410" max="6410" width="14.44140625" style="50" customWidth="1"/>
    <col min="6411" max="6660" width="9.109375" style="50"/>
    <col min="6661" max="6661" width="10.44140625" style="50" customWidth="1"/>
    <col min="6662" max="6665" width="9.109375" style="50"/>
    <col min="6666" max="6666" width="14.44140625" style="50" customWidth="1"/>
    <col min="6667" max="6916" width="9.109375" style="50"/>
    <col min="6917" max="6917" width="10.44140625" style="50" customWidth="1"/>
    <col min="6918" max="6921" width="9.109375" style="50"/>
    <col min="6922" max="6922" width="14.44140625" style="50" customWidth="1"/>
    <col min="6923" max="7172" width="9.109375" style="50"/>
    <col min="7173" max="7173" width="10.44140625" style="50" customWidth="1"/>
    <col min="7174" max="7177" width="9.109375" style="50"/>
    <col min="7178" max="7178" width="14.44140625" style="50" customWidth="1"/>
    <col min="7179" max="7428" width="9.109375" style="50"/>
    <col min="7429" max="7429" width="10.44140625" style="50" customWidth="1"/>
    <col min="7430" max="7433" width="9.109375" style="50"/>
    <col min="7434" max="7434" width="14.44140625" style="50" customWidth="1"/>
    <col min="7435" max="7684" width="9.109375" style="50"/>
    <col min="7685" max="7685" width="10.44140625" style="50" customWidth="1"/>
    <col min="7686" max="7689" width="9.109375" style="50"/>
    <col min="7690" max="7690" width="14.44140625" style="50" customWidth="1"/>
    <col min="7691" max="7940" width="9.109375" style="50"/>
    <col min="7941" max="7941" width="10.44140625" style="50" customWidth="1"/>
    <col min="7942" max="7945" width="9.109375" style="50"/>
    <col min="7946" max="7946" width="14.44140625" style="50" customWidth="1"/>
    <col min="7947" max="8196" width="9.109375" style="50"/>
    <col min="8197" max="8197" width="10.44140625" style="50" customWidth="1"/>
    <col min="8198" max="8201" width="9.109375" style="50"/>
    <col min="8202" max="8202" width="14.44140625" style="50" customWidth="1"/>
    <col min="8203" max="8452" width="9.109375" style="50"/>
    <col min="8453" max="8453" width="10.44140625" style="50" customWidth="1"/>
    <col min="8454" max="8457" width="9.109375" style="50"/>
    <col min="8458" max="8458" width="14.44140625" style="50" customWidth="1"/>
    <col min="8459" max="8708" width="9.109375" style="50"/>
    <col min="8709" max="8709" width="10.44140625" style="50" customWidth="1"/>
    <col min="8710" max="8713" width="9.109375" style="50"/>
    <col min="8714" max="8714" width="14.44140625" style="50" customWidth="1"/>
    <col min="8715" max="8964" width="9.109375" style="50"/>
    <col min="8965" max="8965" width="10.44140625" style="50" customWidth="1"/>
    <col min="8966" max="8969" width="9.109375" style="50"/>
    <col min="8970" max="8970" width="14.44140625" style="50" customWidth="1"/>
    <col min="8971" max="9220" width="9.109375" style="50"/>
    <col min="9221" max="9221" width="10.44140625" style="50" customWidth="1"/>
    <col min="9222" max="9225" width="9.109375" style="50"/>
    <col min="9226" max="9226" width="14.44140625" style="50" customWidth="1"/>
    <col min="9227" max="9476" width="9.109375" style="50"/>
    <col min="9477" max="9477" width="10.44140625" style="50" customWidth="1"/>
    <col min="9478" max="9481" width="9.109375" style="50"/>
    <col min="9482" max="9482" width="14.44140625" style="50" customWidth="1"/>
    <col min="9483" max="9732" width="9.109375" style="50"/>
    <col min="9733" max="9733" width="10.44140625" style="50" customWidth="1"/>
    <col min="9734" max="9737" width="9.109375" style="50"/>
    <col min="9738" max="9738" width="14.44140625" style="50" customWidth="1"/>
    <col min="9739" max="9988" width="9.109375" style="50"/>
    <col min="9989" max="9989" width="10.44140625" style="50" customWidth="1"/>
    <col min="9990" max="9993" width="9.109375" style="50"/>
    <col min="9994" max="9994" width="14.44140625" style="50" customWidth="1"/>
    <col min="9995" max="10244" width="9.109375" style="50"/>
    <col min="10245" max="10245" width="10.44140625" style="50" customWidth="1"/>
    <col min="10246" max="10249" width="9.109375" style="50"/>
    <col min="10250" max="10250" width="14.44140625" style="50" customWidth="1"/>
    <col min="10251" max="10500" width="9.109375" style="50"/>
    <col min="10501" max="10501" width="10.44140625" style="50" customWidth="1"/>
    <col min="10502" max="10505" width="9.109375" style="50"/>
    <col min="10506" max="10506" width="14.44140625" style="50" customWidth="1"/>
    <col min="10507" max="10756" width="9.109375" style="50"/>
    <col min="10757" max="10757" width="10.44140625" style="50" customWidth="1"/>
    <col min="10758" max="10761" width="9.109375" style="50"/>
    <col min="10762" max="10762" width="14.44140625" style="50" customWidth="1"/>
    <col min="10763" max="11012" width="9.109375" style="50"/>
    <col min="11013" max="11013" width="10.44140625" style="50" customWidth="1"/>
    <col min="11014" max="11017" width="9.109375" style="50"/>
    <col min="11018" max="11018" width="14.44140625" style="50" customWidth="1"/>
    <col min="11019" max="11268" width="9.109375" style="50"/>
    <col min="11269" max="11269" width="10.44140625" style="50" customWidth="1"/>
    <col min="11270" max="11273" width="9.109375" style="50"/>
    <col min="11274" max="11274" width="14.44140625" style="50" customWidth="1"/>
    <col min="11275" max="11524" width="9.109375" style="50"/>
    <col min="11525" max="11525" width="10.44140625" style="50" customWidth="1"/>
    <col min="11526" max="11529" width="9.109375" style="50"/>
    <col min="11530" max="11530" width="14.44140625" style="50" customWidth="1"/>
    <col min="11531" max="11780" width="9.109375" style="50"/>
    <col min="11781" max="11781" width="10.44140625" style="50" customWidth="1"/>
    <col min="11782" max="11785" width="9.109375" style="50"/>
    <col min="11786" max="11786" width="14.44140625" style="50" customWidth="1"/>
    <col min="11787" max="12036" width="9.109375" style="50"/>
    <col min="12037" max="12037" width="10.44140625" style="50" customWidth="1"/>
    <col min="12038" max="12041" width="9.109375" style="50"/>
    <col min="12042" max="12042" width="14.44140625" style="50" customWidth="1"/>
    <col min="12043" max="12292" width="9.109375" style="50"/>
    <col min="12293" max="12293" width="10.44140625" style="50" customWidth="1"/>
    <col min="12294" max="12297" width="9.109375" style="50"/>
    <col min="12298" max="12298" width="14.44140625" style="50" customWidth="1"/>
    <col min="12299" max="12548" width="9.109375" style="50"/>
    <col min="12549" max="12549" width="10.44140625" style="50" customWidth="1"/>
    <col min="12550" max="12553" width="9.109375" style="50"/>
    <col min="12554" max="12554" width="14.44140625" style="50" customWidth="1"/>
    <col min="12555" max="12804" width="9.109375" style="50"/>
    <col min="12805" max="12805" width="10.44140625" style="50" customWidth="1"/>
    <col min="12806" max="12809" width="9.109375" style="50"/>
    <col min="12810" max="12810" width="14.44140625" style="50" customWidth="1"/>
    <col min="12811" max="13060" width="9.109375" style="50"/>
    <col min="13061" max="13061" width="10.44140625" style="50" customWidth="1"/>
    <col min="13062" max="13065" width="9.109375" style="50"/>
    <col min="13066" max="13066" width="14.44140625" style="50" customWidth="1"/>
    <col min="13067" max="13316" width="9.109375" style="50"/>
    <col min="13317" max="13317" width="10.44140625" style="50" customWidth="1"/>
    <col min="13318" max="13321" width="9.109375" style="50"/>
    <col min="13322" max="13322" width="14.44140625" style="50" customWidth="1"/>
    <col min="13323" max="13572" width="9.109375" style="50"/>
    <col min="13573" max="13573" width="10.44140625" style="50" customWidth="1"/>
    <col min="13574" max="13577" width="9.109375" style="50"/>
    <col min="13578" max="13578" width="14.44140625" style="50" customWidth="1"/>
    <col min="13579" max="13828" width="9.109375" style="50"/>
    <col min="13829" max="13829" width="10.44140625" style="50" customWidth="1"/>
    <col min="13830" max="13833" width="9.109375" style="50"/>
    <col min="13834" max="13834" width="14.44140625" style="50" customWidth="1"/>
    <col min="13835" max="14084" width="9.109375" style="50"/>
    <col min="14085" max="14085" width="10.44140625" style="50" customWidth="1"/>
    <col min="14086" max="14089" width="9.109375" style="50"/>
    <col min="14090" max="14090" width="14.44140625" style="50" customWidth="1"/>
    <col min="14091" max="14340" width="9.109375" style="50"/>
    <col min="14341" max="14341" width="10.44140625" style="50" customWidth="1"/>
    <col min="14342" max="14345" width="9.109375" style="50"/>
    <col min="14346" max="14346" width="14.44140625" style="50" customWidth="1"/>
    <col min="14347" max="14596" width="9.109375" style="50"/>
    <col min="14597" max="14597" width="10.44140625" style="50" customWidth="1"/>
    <col min="14598" max="14601" width="9.109375" style="50"/>
    <col min="14602" max="14602" width="14.44140625" style="50" customWidth="1"/>
    <col min="14603" max="14852" width="9.109375" style="50"/>
    <col min="14853" max="14853" width="10.44140625" style="50" customWidth="1"/>
    <col min="14854" max="14857" width="9.109375" style="50"/>
    <col min="14858" max="14858" width="14.44140625" style="50" customWidth="1"/>
    <col min="14859" max="15108" width="9.109375" style="50"/>
    <col min="15109" max="15109" width="10.44140625" style="50" customWidth="1"/>
    <col min="15110" max="15113" width="9.109375" style="50"/>
    <col min="15114" max="15114" width="14.44140625" style="50" customWidth="1"/>
    <col min="15115" max="15364" width="9.109375" style="50"/>
    <col min="15365" max="15365" width="10.44140625" style="50" customWidth="1"/>
    <col min="15366" max="15369" width="9.109375" style="50"/>
    <col min="15370" max="15370" width="14.44140625" style="50" customWidth="1"/>
    <col min="15371" max="15620" width="9.109375" style="50"/>
    <col min="15621" max="15621" width="10.44140625" style="50" customWidth="1"/>
    <col min="15622" max="15625" width="9.109375" style="50"/>
    <col min="15626" max="15626" width="14.44140625" style="50" customWidth="1"/>
    <col min="15627" max="15876" width="9.109375" style="50"/>
    <col min="15877" max="15877" width="10.44140625" style="50" customWidth="1"/>
    <col min="15878" max="15881" width="9.109375" style="50"/>
    <col min="15882" max="15882" width="14.44140625" style="50" customWidth="1"/>
    <col min="15883" max="16132" width="9.109375" style="50"/>
    <col min="16133" max="16133" width="10.44140625" style="50" customWidth="1"/>
    <col min="16134" max="16137" width="9.109375" style="50"/>
    <col min="16138" max="16138" width="14.44140625" style="50" customWidth="1"/>
    <col min="16139" max="16384" width="9.109375" style="50"/>
  </cols>
  <sheetData>
    <row r="1" spans="2:15" ht="14.4" thickBot="1" x14ac:dyDescent="0.3"/>
    <row r="2" spans="2:15" ht="14.4" thickBot="1" x14ac:dyDescent="0.3">
      <c r="B2" s="73" t="s">
        <v>56</v>
      </c>
      <c r="C2" s="74" t="s">
        <v>19</v>
      </c>
      <c r="D2" s="74" t="s">
        <v>237</v>
      </c>
      <c r="E2" s="109" t="s">
        <v>238</v>
      </c>
      <c r="F2" s="75" t="s">
        <v>84</v>
      </c>
      <c r="G2" s="111"/>
      <c r="H2" s="111"/>
      <c r="O2" s="58"/>
    </row>
    <row r="3" spans="2:15" x14ac:dyDescent="0.25">
      <c r="B3" s="76" t="s">
        <v>57</v>
      </c>
      <c r="C3" s="77">
        <v>44000</v>
      </c>
      <c r="D3" s="110">
        <f>IF(C3&lt;31000,C3*10%,IF(C3&lt;41000,C3*20%,IF(C3&lt;50000,C3*30%,C3*40%)))</f>
        <v>13200</v>
      </c>
      <c r="E3" s="110">
        <f>C3-D3</f>
        <v>30800</v>
      </c>
      <c r="F3" s="110" t="str">
        <f>_xlfn.IFS(E3:E95&lt;31000, "A", AND(E3:E95&gt;=31000, E3:E95&lt;41000), "B", AND(E3:E95&gt;=41000, E3:E95&lt;50000), "C", E3:E95 &gt;= 50000, "D")</f>
        <v>A</v>
      </c>
      <c r="J3" s="51" t="s">
        <v>91</v>
      </c>
      <c r="K3" s="51" t="s">
        <v>166</v>
      </c>
    </row>
    <row r="4" spans="2:15" x14ac:dyDescent="0.25">
      <c r="B4" s="78" t="s">
        <v>58</v>
      </c>
      <c r="C4" s="51">
        <v>44000</v>
      </c>
      <c r="D4" s="110">
        <f t="shared" ref="D4:D67" si="0">IF(C4&lt;31000,C4*10%,IF(C4&lt;41000,C4*20%,IF(C4&lt;50000,C4*30%,C4*40%)))</f>
        <v>13200</v>
      </c>
      <c r="E4" s="110">
        <f t="shared" ref="E4:E67" si="1">C4-D4</f>
        <v>30800</v>
      </c>
      <c r="F4" s="110" t="str">
        <f t="shared" ref="F4:F67" si="2">_xlfn.IFS(E4:E96&lt;31000, "A", AND(E4:E96&gt;=31000, E4:E96&lt;41000), "B", AND(E4:E96&gt;=41000, E4:E96&lt;50000), "C", E4:E96 &gt;= 50000, "D")</f>
        <v>A</v>
      </c>
      <c r="J4" s="51" t="s">
        <v>171</v>
      </c>
      <c r="K4" s="112">
        <v>0.1</v>
      </c>
      <c r="O4" s="58"/>
    </row>
    <row r="5" spans="2:15" x14ac:dyDescent="0.25">
      <c r="B5" s="78" t="s">
        <v>58</v>
      </c>
      <c r="C5" s="51">
        <v>44000</v>
      </c>
      <c r="D5" s="110">
        <f t="shared" si="0"/>
        <v>13200</v>
      </c>
      <c r="E5" s="110">
        <f t="shared" si="1"/>
        <v>30800</v>
      </c>
      <c r="F5" s="110" t="str">
        <f t="shared" si="2"/>
        <v>A</v>
      </c>
      <c r="J5" s="51" t="s">
        <v>169</v>
      </c>
      <c r="K5" s="112">
        <v>0.2</v>
      </c>
    </row>
    <row r="6" spans="2:15" x14ac:dyDescent="0.25">
      <c r="B6" s="78" t="s">
        <v>59</v>
      </c>
      <c r="C6" s="51">
        <v>44000</v>
      </c>
      <c r="D6" s="110">
        <f t="shared" si="0"/>
        <v>13200</v>
      </c>
      <c r="E6" s="110">
        <f t="shared" si="1"/>
        <v>30800</v>
      </c>
      <c r="F6" s="110" t="str">
        <f t="shared" si="2"/>
        <v>A</v>
      </c>
      <c r="J6" s="51" t="s">
        <v>94</v>
      </c>
      <c r="K6" s="112">
        <v>0.3</v>
      </c>
    </row>
    <row r="7" spans="2:15" x14ac:dyDescent="0.25">
      <c r="B7" s="78" t="s">
        <v>60</v>
      </c>
      <c r="C7" s="51">
        <v>38000</v>
      </c>
      <c r="D7" s="110">
        <f t="shared" si="0"/>
        <v>7600</v>
      </c>
      <c r="E7" s="110">
        <f t="shared" si="1"/>
        <v>30400</v>
      </c>
      <c r="F7" s="110" t="str">
        <f t="shared" si="2"/>
        <v>A</v>
      </c>
      <c r="J7" s="51" t="s">
        <v>172</v>
      </c>
      <c r="K7" s="112">
        <v>0.4</v>
      </c>
    </row>
    <row r="8" spans="2:15" x14ac:dyDescent="0.25">
      <c r="B8" s="79" t="s">
        <v>61</v>
      </c>
      <c r="C8" s="51">
        <v>38000</v>
      </c>
      <c r="D8" s="110">
        <f t="shared" si="0"/>
        <v>7600</v>
      </c>
      <c r="E8" s="110">
        <f t="shared" si="1"/>
        <v>30400</v>
      </c>
      <c r="F8" s="110" t="str">
        <f t="shared" si="2"/>
        <v>A</v>
      </c>
      <c r="J8" s="50" t="s">
        <v>170</v>
      </c>
    </row>
    <row r="9" spans="2:15" x14ac:dyDescent="0.25">
      <c r="B9" s="78" t="s">
        <v>62</v>
      </c>
      <c r="C9" s="51">
        <v>38000</v>
      </c>
      <c r="D9" s="110">
        <f t="shared" si="0"/>
        <v>7600</v>
      </c>
      <c r="E9" s="110">
        <f t="shared" si="1"/>
        <v>30400</v>
      </c>
      <c r="F9" s="110" t="str">
        <f t="shared" si="2"/>
        <v>A</v>
      </c>
    </row>
    <row r="10" spans="2:15" x14ac:dyDescent="0.25">
      <c r="B10" s="78" t="s">
        <v>63</v>
      </c>
      <c r="C10" s="51">
        <v>38000</v>
      </c>
      <c r="D10" s="110">
        <f t="shared" si="0"/>
        <v>7600</v>
      </c>
      <c r="E10" s="110">
        <f t="shared" si="1"/>
        <v>30400</v>
      </c>
      <c r="F10" s="110" t="str">
        <f t="shared" si="2"/>
        <v>A</v>
      </c>
      <c r="K10" s="57" t="s">
        <v>84</v>
      </c>
    </row>
    <row r="11" spans="2:15" x14ac:dyDescent="0.25">
      <c r="B11" s="78" t="s">
        <v>64</v>
      </c>
      <c r="C11" s="51">
        <v>33000</v>
      </c>
      <c r="D11" s="110">
        <f t="shared" si="0"/>
        <v>6600</v>
      </c>
      <c r="E11" s="110">
        <f t="shared" si="1"/>
        <v>26400</v>
      </c>
      <c r="F11" s="110" t="str">
        <f t="shared" si="2"/>
        <v>A</v>
      </c>
      <c r="J11" s="113" t="s">
        <v>171</v>
      </c>
      <c r="K11" s="114" t="s">
        <v>7</v>
      </c>
    </row>
    <row r="12" spans="2:15" x14ac:dyDescent="0.25">
      <c r="B12" s="78" t="s">
        <v>65</v>
      </c>
      <c r="C12" s="51">
        <v>44000</v>
      </c>
      <c r="D12" s="110">
        <f t="shared" si="0"/>
        <v>13200</v>
      </c>
      <c r="E12" s="110">
        <f t="shared" si="1"/>
        <v>30800</v>
      </c>
      <c r="F12" s="110" t="str">
        <f t="shared" si="2"/>
        <v>A</v>
      </c>
      <c r="J12" s="113" t="s">
        <v>169</v>
      </c>
      <c r="K12" s="114" t="s">
        <v>8</v>
      </c>
    </row>
    <row r="13" spans="2:15" x14ac:dyDescent="0.25">
      <c r="B13" s="78" t="s">
        <v>66</v>
      </c>
      <c r="C13" s="51">
        <v>44000</v>
      </c>
      <c r="D13" s="110">
        <f t="shared" si="0"/>
        <v>13200</v>
      </c>
      <c r="E13" s="110">
        <f t="shared" si="1"/>
        <v>30800</v>
      </c>
      <c r="F13" s="110" t="str">
        <f t="shared" si="2"/>
        <v>A</v>
      </c>
      <c r="J13" s="113" t="s">
        <v>94</v>
      </c>
      <c r="K13" s="114" t="s">
        <v>9</v>
      </c>
    </row>
    <row r="14" spans="2:15" x14ac:dyDescent="0.25">
      <c r="B14" s="78" t="s">
        <v>61</v>
      </c>
      <c r="C14" s="51">
        <v>44000</v>
      </c>
      <c r="D14" s="110">
        <f t="shared" si="0"/>
        <v>13200</v>
      </c>
      <c r="E14" s="110">
        <f t="shared" si="1"/>
        <v>30800</v>
      </c>
      <c r="F14" s="110" t="str">
        <f t="shared" si="2"/>
        <v>A</v>
      </c>
      <c r="J14" s="113" t="s">
        <v>172</v>
      </c>
      <c r="K14" s="57" t="s">
        <v>10</v>
      </c>
    </row>
    <row r="15" spans="2:15" x14ac:dyDescent="0.25">
      <c r="B15" s="78" t="s">
        <v>64</v>
      </c>
      <c r="C15" s="51">
        <v>44000</v>
      </c>
      <c r="D15" s="110">
        <f t="shared" si="0"/>
        <v>13200</v>
      </c>
      <c r="E15" s="110">
        <f t="shared" si="1"/>
        <v>30800</v>
      </c>
      <c r="F15" s="110" t="str">
        <f t="shared" si="2"/>
        <v>A</v>
      </c>
    </row>
    <row r="16" spans="2:15" x14ac:dyDescent="0.25">
      <c r="B16" s="78" t="s">
        <v>65</v>
      </c>
      <c r="C16" s="51">
        <v>38000</v>
      </c>
      <c r="D16" s="110">
        <f t="shared" si="0"/>
        <v>7600</v>
      </c>
      <c r="E16" s="110">
        <f t="shared" si="1"/>
        <v>30400</v>
      </c>
      <c r="F16" s="110" t="str">
        <f t="shared" si="2"/>
        <v>A</v>
      </c>
      <c r="J16" s="115" t="s">
        <v>95</v>
      </c>
      <c r="K16" s="115"/>
    </row>
    <row r="17" spans="2:11" x14ac:dyDescent="0.25">
      <c r="B17" s="78" t="s">
        <v>66</v>
      </c>
      <c r="C17" s="51">
        <v>45000</v>
      </c>
      <c r="D17" s="110">
        <f t="shared" si="0"/>
        <v>13500</v>
      </c>
      <c r="E17" s="110">
        <f t="shared" si="1"/>
        <v>31500</v>
      </c>
      <c r="F17" s="110" t="str">
        <f t="shared" si="2"/>
        <v>B</v>
      </c>
      <c r="J17" s="57" t="s">
        <v>7</v>
      </c>
      <c r="K17" s="57">
        <f>COUNTIF(F3:F95, "A")</f>
        <v>63</v>
      </c>
    </row>
    <row r="18" spans="2:11" x14ac:dyDescent="0.25">
      <c r="B18" s="78" t="s">
        <v>61</v>
      </c>
      <c r="C18" s="51">
        <v>33000</v>
      </c>
      <c r="D18" s="110">
        <f t="shared" si="0"/>
        <v>6600</v>
      </c>
      <c r="E18" s="110">
        <f t="shared" si="1"/>
        <v>26400</v>
      </c>
      <c r="F18" s="110" t="str">
        <f t="shared" si="2"/>
        <v>A</v>
      </c>
      <c r="J18" s="57" t="s">
        <v>8</v>
      </c>
      <c r="K18" s="57">
        <f>COUNTIF(F3:F95, "B")</f>
        <v>30</v>
      </c>
    </row>
    <row r="19" spans="2:11" x14ac:dyDescent="0.25">
      <c r="B19" s="78" t="s">
        <v>67</v>
      </c>
      <c r="C19" s="51">
        <v>38000</v>
      </c>
      <c r="D19" s="110">
        <f t="shared" si="0"/>
        <v>7600</v>
      </c>
      <c r="E19" s="110">
        <f t="shared" si="1"/>
        <v>30400</v>
      </c>
      <c r="F19" s="110" t="str">
        <f t="shared" si="2"/>
        <v>A</v>
      </c>
      <c r="J19" s="57" t="s">
        <v>9</v>
      </c>
      <c r="K19" s="57">
        <f>COUNTIF(F3:F95, "C")</f>
        <v>0</v>
      </c>
    </row>
    <row r="20" spans="2:11" x14ac:dyDescent="0.25">
      <c r="B20" s="78" t="s">
        <v>68</v>
      </c>
      <c r="C20" s="51">
        <v>33000</v>
      </c>
      <c r="D20" s="110">
        <f t="shared" si="0"/>
        <v>6600</v>
      </c>
      <c r="E20" s="110">
        <f t="shared" si="1"/>
        <v>26400</v>
      </c>
      <c r="F20" s="110" t="str">
        <f t="shared" si="2"/>
        <v>A</v>
      </c>
      <c r="J20" s="57" t="s">
        <v>10</v>
      </c>
      <c r="K20" s="57">
        <f>COUNTIF(F3:F95, "D")</f>
        <v>0</v>
      </c>
    </row>
    <row r="21" spans="2:11" x14ac:dyDescent="0.25">
      <c r="B21" s="78" t="s">
        <v>57</v>
      </c>
      <c r="C21" s="51">
        <v>44000</v>
      </c>
      <c r="D21" s="110">
        <f t="shared" si="0"/>
        <v>13200</v>
      </c>
      <c r="E21" s="110">
        <f t="shared" si="1"/>
        <v>30800</v>
      </c>
      <c r="F21" s="110" t="str">
        <f t="shared" si="2"/>
        <v>A</v>
      </c>
    </row>
    <row r="22" spans="2:11" x14ac:dyDescent="0.25">
      <c r="B22" s="78" t="s">
        <v>58</v>
      </c>
      <c r="C22" s="51">
        <v>40000</v>
      </c>
      <c r="D22" s="110">
        <f t="shared" si="0"/>
        <v>8000</v>
      </c>
      <c r="E22" s="110">
        <f t="shared" si="1"/>
        <v>32000</v>
      </c>
      <c r="F22" s="110" t="str">
        <f t="shared" si="2"/>
        <v>B</v>
      </c>
      <c r="J22" s="115" t="s">
        <v>96</v>
      </c>
      <c r="K22" s="115"/>
    </row>
    <row r="23" spans="2:11" x14ac:dyDescent="0.25">
      <c r="B23" s="78" t="s">
        <v>69</v>
      </c>
      <c r="C23" s="51">
        <v>44000</v>
      </c>
      <c r="D23" s="110">
        <f t="shared" si="0"/>
        <v>13200</v>
      </c>
      <c r="E23" s="110">
        <f t="shared" si="1"/>
        <v>30800</v>
      </c>
      <c r="F23" s="110" t="str">
        <f t="shared" si="2"/>
        <v>A</v>
      </c>
      <c r="J23" s="57" t="s">
        <v>7</v>
      </c>
      <c r="K23" s="57">
        <f>SUMIF(F3:F95, "A", E3:E95)</f>
        <v>1827800</v>
      </c>
    </row>
    <row r="24" spans="2:11" x14ac:dyDescent="0.25">
      <c r="B24" s="78" t="s">
        <v>70</v>
      </c>
      <c r="C24" s="51">
        <v>44000</v>
      </c>
      <c r="D24" s="110">
        <f t="shared" si="0"/>
        <v>13200</v>
      </c>
      <c r="E24" s="110">
        <f t="shared" si="1"/>
        <v>30800</v>
      </c>
      <c r="F24" s="110" t="str">
        <f t="shared" si="2"/>
        <v>A</v>
      </c>
      <c r="J24" s="57" t="s">
        <v>8</v>
      </c>
      <c r="K24" s="57">
        <f>SUMIF(F3:F95, "B", E3:E95)</f>
        <v>947900</v>
      </c>
    </row>
    <row r="25" spans="2:11" x14ac:dyDescent="0.25">
      <c r="B25" s="78" t="s">
        <v>71</v>
      </c>
      <c r="C25" s="51">
        <v>40000</v>
      </c>
      <c r="D25" s="110">
        <f t="shared" si="0"/>
        <v>8000</v>
      </c>
      <c r="E25" s="110">
        <f t="shared" si="1"/>
        <v>32000</v>
      </c>
      <c r="F25" s="110" t="str">
        <f t="shared" si="2"/>
        <v>B</v>
      </c>
      <c r="J25" s="57" t="s">
        <v>9</v>
      </c>
      <c r="K25" s="57">
        <f>SUMIF(F3:F95, "C", E3:E95)</f>
        <v>0</v>
      </c>
    </row>
    <row r="26" spans="2:11" x14ac:dyDescent="0.25">
      <c r="B26" s="78" t="s">
        <v>72</v>
      </c>
      <c r="C26" s="51">
        <v>44000</v>
      </c>
      <c r="D26" s="110">
        <f t="shared" si="0"/>
        <v>13200</v>
      </c>
      <c r="E26" s="110">
        <f t="shared" si="1"/>
        <v>30800</v>
      </c>
      <c r="F26" s="110" t="str">
        <f t="shared" si="2"/>
        <v>A</v>
      </c>
      <c r="J26" s="57" t="s">
        <v>10</v>
      </c>
      <c r="K26" s="57">
        <f>SUMIF(F3:F95, "D", E3:E95)</f>
        <v>0</v>
      </c>
    </row>
    <row r="27" spans="2:11" x14ac:dyDescent="0.25">
      <c r="B27" s="78" t="s">
        <v>73</v>
      </c>
      <c r="C27" s="51">
        <v>51000</v>
      </c>
      <c r="D27" s="110">
        <f t="shared" si="0"/>
        <v>20400</v>
      </c>
      <c r="E27" s="110">
        <f t="shared" si="1"/>
        <v>30600</v>
      </c>
      <c r="F27" s="110" t="str">
        <f t="shared" si="2"/>
        <v>A</v>
      </c>
    </row>
    <row r="28" spans="2:11" x14ac:dyDescent="0.25">
      <c r="B28" s="78" t="s">
        <v>74</v>
      </c>
      <c r="C28" s="51">
        <v>53000</v>
      </c>
      <c r="D28" s="110">
        <f t="shared" si="0"/>
        <v>21200</v>
      </c>
      <c r="E28" s="110">
        <f t="shared" si="1"/>
        <v>31800</v>
      </c>
      <c r="F28" s="110" t="str">
        <f t="shared" si="2"/>
        <v>B</v>
      </c>
    </row>
    <row r="29" spans="2:11" x14ac:dyDescent="0.25">
      <c r="B29" s="79" t="s">
        <v>75</v>
      </c>
      <c r="C29" s="51">
        <v>44000</v>
      </c>
      <c r="D29" s="110">
        <f t="shared" si="0"/>
        <v>13200</v>
      </c>
      <c r="E29" s="110">
        <f t="shared" si="1"/>
        <v>30800</v>
      </c>
      <c r="F29" s="110" t="str">
        <f t="shared" si="2"/>
        <v>A</v>
      </c>
    </row>
    <row r="30" spans="2:11" x14ac:dyDescent="0.25">
      <c r="B30" s="78" t="s">
        <v>62</v>
      </c>
      <c r="C30" s="51">
        <v>44000</v>
      </c>
      <c r="D30" s="110">
        <f t="shared" si="0"/>
        <v>13200</v>
      </c>
      <c r="E30" s="110">
        <f t="shared" si="1"/>
        <v>30800</v>
      </c>
      <c r="F30" s="110" t="str">
        <f t="shared" si="2"/>
        <v>A</v>
      </c>
    </row>
    <row r="31" spans="2:11" x14ac:dyDescent="0.25">
      <c r="B31" s="78" t="s">
        <v>63</v>
      </c>
      <c r="C31" s="51">
        <v>44000</v>
      </c>
      <c r="D31" s="110">
        <f t="shared" si="0"/>
        <v>13200</v>
      </c>
      <c r="E31" s="110">
        <f t="shared" si="1"/>
        <v>30800</v>
      </c>
      <c r="F31" s="110" t="str">
        <f t="shared" si="2"/>
        <v>A</v>
      </c>
    </row>
    <row r="32" spans="2:11" x14ac:dyDescent="0.25">
      <c r="B32" s="78" t="s">
        <v>64</v>
      </c>
      <c r="C32" s="51">
        <v>58000</v>
      </c>
      <c r="D32" s="110">
        <f t="shared" si="0"/>
        <v>23200</v>
      </c>
      <c r="E32" s="110">
        <f t="shared" si="1"/>
        <v>34800</v>
      </c>
      <c r="F32" s="110" t="str">
        <f t="shared" si="2"/>
        <v>B</v>
      </c>
    </row>
    <row r="33" spans="2:6" x14ac:dyDescent="0.25">
      <c r="B33" s="78" t="s">
        <v>65</v>
      </c>
      <c r="C33" s="51">
        <v>40000</v>
      </c>
      <c r="D33" s="110">
        <f t="shared" si="0"/>
        <v>8000</v>
      </c>
      <c r="E33" s="110">
        <f t="shared" si="1"/>
        <v>32000</v>
      </c>
      <c r="F33" s="110" t="str">
        <f t="shared" si="2"/>
        <v>B</v>
      </c>
    </row>
    <row r="34" spans="2:6" x14ac:dyDescent="0.25">
      <c r="B34" s="78" t="s">
        <v>66</v>
      </c>
      <c r="C34" s="51">
        <v>44000</v>
      </c>
      <c r="D34" s="110">
        <f t="shared" si="0"/>
        <v>13200</v>
      </c>
      <c r="E34" s="110">
        <f t="shared" si="1"/>
        <v>30800</v>
      </c>
      <c r="F34" s="110" t="str">
        <f t="shared" si="2"/>
        <v>A</v>
      </c>
    </row>
    <row r="35" spans="2:6" x14ac:dyDescent="0.25">
      <c r="B35" s="78" t="s">
        <v>61</v>
      </c>
      <c r="C35" s="51">
        <v>59000</v>
      </c>
      <c r="D35" s="110">
        <f t="shared" si="0"/>
        <v>23600</v>
      </c>
      <c r="E35" s="110">
        <f t="shared" si="1"/>
        <v>35400</v>
      </c>
      <c r="F35" s="110" t="str">
        <f t="shared" si="2"/>
        <v>B</v>
      </c>
    </row>
    <row r="36" spans="2:6" x14ac:dyDescent="0.25">
      <c r="B36" s="78" t="s">
        <v>67</v>
      </c>
      <c r="C36" s="51">
        <v>38000</v>
      </c>
      <c r="D36" s="110">
        <f t="shared" si="0"/>
        <v>7600</v>
      </c>
      <c r="E36" s="110">
        <f t="shared" si="1"/>
        <v>30400</v>
      </c>
      <c r="F36" s="110" t="str">
        <f t="shared" si="2"/>
        <v>A</v>
      </c>
    </row>
    <row r="37" spans="2:6" x14ac:dyDescent="0.25">
      <c r="B37" s="78" t="s">
        <v>68</v>
      </c>
      <c r="C37" s="51">
        <v>44000</v>
      </c>
      <c r="D37" s="110">
        <f t="shared" si="0"/>
        <v>13200</v>
      </c>
      <c r="E37" s="110">
        <f t="shared" si="1"/>
        <v>30800</v>
      </c>
      <c r="F37" s="110" t="str">
        <f t="shared" si="2"/>
        <v>A</v>
      </c>
    </row>
    <row r="38" spans="2:6" x14ac:dyDescent="0.25">
      <c r="B38" s="78" t="s">
        <v>57</v>
      </c>
      <c r="C38" s="51">
        <v>38000</v>
      </c>
      <c r="D38" s="110">
        <f t="shared" si="0"/>
        <v>7600</v>
      </c>
      <c r="E38" s="110">
        <f t="shared" si="1"/>
        <v>30400</v>
      </c>
      <c r="F38" s="110" t="str">
        <f t="shared" si="2"/>
        <v>A</v>
      </c>
    </row>
    <row r="39" spans="2:6" x14ac:dyDescent="0.25">
      <c r="B39" s="78" t="s">
        <v>58</v>
      </c>
      <c r="C39" s="51">
        <v>44000</v>
      </c>
      <c r="D39" s="110">
        <f t="shared" si="0"/>
        <v>13200</v>
      </c>
      <c r="E39" s="110">
        <f t="shared" si="1"/>
        <v>30800</v>
      </c>
      <c r="F39" s="110" t="str">
        <f t="shared" si="2"/>
        <v>A</v>
      </c>
    </row>
    <row r="40" spans="2:6" x14ac:dyDescent="0.25">
      <c r="B40" s="78" t="s">
        <v>58</v>
      </c>
      <c r="C40" s="51">
        <v>38000</v>
      </c>
      <c r="D40" s="110">
        <f t="shared" si="0"/>
        <v>7600</v>
      </c>
      <c r="E40" s="110">
        <f t="shared" si="1"/>
        <v>30400</v>
      </c>
      <c r="F40" s="110" t="str">
        <f t="shared" si="2"/>
        <v>A</v>
      </c>
    </row>
    <row r="41" spans="2:6" x14ac:dyDescent="0.25">
      <c r="B41" s="78" t="s">
        <v>59</v>
      </c>
      <c r="C41" s="51">
        <v>38000</v>
      </c>
      <c r="D41" s="110">
        <f t="shared" si="0"/>
        <v>7600</v>
      </c>
      <c r="E41" s="110">
        <f t="shared" si="1"/>
        <v>30400</v>
      </c>
      <c r="F41" s="110" t="str">
        <f t="shared" si="2"/>
        <v>A</v>
      </c>
    </row>
    <row r="42" spans="2:6" x14ac:dyDescent="0.25">
      <c r="B42" s="78" t="s">
        <v>60</v>
      </c>
      <c r="C42" s="51">
        <v>38000</v>
      </c>
      <c r="D42" s="110">
        <f t="shared" si="0"/>
        <v>7600</v>
      </c>
      <c r="E42" s="110">
        <f t="shared" si="1"/>
        <v>30400</v>
      </c>
      <c r="F42" s="110" t="str">
        <f t="shared" si="2"/>
        <v>A</v>
      </c>
    </row>
    <row r="43" spans="2:6" x14ac:dyDescent="0.25">
      <c r="B43" s="78" t="s">
        <v>76</v>
      </c>
      <c r="C43" s="51">
        <v>38000</v>
      </c>
      <c r="D43" s="110">
        <f t="shared" si="0"/>
        <v>7600</v>
      </c>
      <c r="E43" s="110">
        <f t="shared" si="1"/>
        <v>30400</v>
      </c>
      <c r="F43" s="110" t="str">
        <f t="shared" si="2"/>
        <v>A</v>
      </c>
    </row>
    <row r="44" spans="2:6" x14ac:dyDescent="0.25">
      <c r="B44" s="78" t="s">
        <v>69</v>
      </c>
      <c r="C44" s="51">
        <v>33000</v>
      </c>
      <c r="D44" s="110">
        <f t="shared" si="0"/>
        <v>6600</v>
      </c>
      <c r="E44" s="110">
        <f t="shared" si="1"/>
        <v>26400</v>
      </c>
      <c r="F44" s="110" t="str">
        <f t="shared" si="2"/>
        <v>A</v>
      </c>
    </row>
    <row r="45" spans="2:6" x14ac:dyDescent="0.25">
      <c r="B45" s="78" t="s">
        <v>70</v>
      </c>
      <c r="C45" s="51">
        <v>44000</v>
      </c>
      <c r="D45" s="110">
        <f t="shared" si="0"/>
        <v>13200</v>
      </c>
      <c r="E45" s="110">
        <f t="shared" si="1"/>
        <v>30800</v>
      </c>
      <c r="F45" s="110" t="str">
        <f t="shared" si="2"/>
        <v>A</v>
      </c>
    </row>
    <row r="46" spans="2:6" x14ac:dyDescent="0.25">
      <c r="B46" s="78" t="s">
        <v>71</v>
      </c>
      <c r="C46" s="51">
        <v>39000</v>
      </c>
      <c r="D46" s="110">
        <f t="shared" si="0"/>
        <v>7800</v>
      </c>
      <c r="E46" s="110">
        <f t="shared" si="1"/>
        <v>31200</v>
      </c>
      <c r="F46" s="110" t="str">
        <f t="shared" si="2"/>
        <v>B</v>
      </c>
    </row>
    <row r="47" spans="2:6" x14ac:dyDescent="0.25">
      <c r="B47" s="78" t="s">
        <v>72</v>
      </c>
      <c r="C47" s="51">
        <v>39000</v>
      </c>
      <c r="D47" s="110">
        <f t="shared" si="0"/>
        <v>7800</v>
      </c>
      <c r="E47" s="110">
        <f t="shared" si="1"/>
        <v>31200</v>
      </c>
      <c r="F47" s="110" t="str">
        <f t="shared" si="2"/>
        <v>B</v>
      </c>
    </row>
    <row r="48" spans="2:6" x14ac:dyDescent="0.25">
      <c r="B48" s="78" t="s">
        <v>73</v>
      </c>
      <c r="C48" s="51">
        <v>39000</v>
      </c>
      <c r="D48" s="110">
        <f t="shared" si="0"/>
        <v>7800</v>
      </c>
      <c r="E48" s="110">
        <f t="shared" si="1"/>
        <v>31200</v>
      </c>
      <c r="F48" s="110" t="str">
        <f t="shared" si="2"/>
        <v>B</v>
      </c>
    </row>
    <row r="49" spans="2:6" x14ac:dyDescent="0.25">
      <c r="B49" s="78" t="s">
        <v>74</v>
      </c>
      <c r="C49" s="51">
        <v>39000</v>
      </c>
      <c r="D49" s="110">
        <f t="shared" si="0"/>
        <v>7800</v>
      </c>
      <c r="E49" s="110">
        <f t="shared" si="1"/>
        <v>31200</v>
      </c>
      <c r="F49" s="110" t="str">
        <f t="shared" si="2"/>
        <v>B</v>
      </c>
    </row>
    <row r="50" spans="2:6" x14ac:dyDescent="0.25">
      <c r="B50" s="78" t="s">
        <v>77</v>
      </c>
      <c r="C50" s="51">
        <v>33000</v>
      </c>
      <c r="D50" s="110">
        <f t="shared" si="0"/>
        <v>6600</v>
      </c>
      <c r="E50" s="110">
        <f t="shared" si="1"/>
        <v>26400</v>
      </c>
      <c r="F50" s="110" t="str">
        <f t="shared" si="2"/>
        <v>A</v>
      </c>
    </row>
    <row r="51" spans="2:6" x14ac:dyDescent="0.25">
      <c r="B51" s="78" t="s">
        <v>78</v>
      </c>
      <c r="C51" s="51">
        <v>33000</v>
      </c>
      <c r="D51" s="110">
        <f t="shared" si="0"/>
        <v>6600</v>
      </c>
      <c r="E51" s="110">
        <f t="shared" si="1"/>
        <v>26400</v>
      </c>
      <c r="F51" s="110" t="str">
        <f t="shared" si="2"/>
        <v>A</v>
      </c>
    </row>
    <row r="52" spans="2:6" x14ac:dyDescent="0.25">
      <c r="B52" s="78" t="s">
        <v>79</v>
      </c>
      <c r="C52" s="51">
        <v>33000</v>
      </c>
      <c r="D52" s="110">
        <f t="shared" si="0"/>
        <v>6600</v>
      </c>
      <c r="E52" s="110">
        <f t="shared" si="1"/>
        <v>26400</v>
      </c>
      <c r="F52" s="110" t="str">
        <f t="shared" si="2"/>
        <v>A</v>
      </c>
    </row>
    <row r="53" spans="2:6" x14ac:dyDescent="0.25">
      <c r="B53" s="78" t="s">
        <v>80</v>
      </c>
      <c r="C53" s="51">
        <v>33000</v>
      </c>
      <c r="D53" s="110">
        <f t="shared" si="0"/>
        <v>6600</v>
      </c>
      <c r="E53" s="110">
        <f t="shared" si="1"/>
        <v>26400</v>
      </c>
      <c r="F53" s="110" t="str">
        <f t="shared" si="2"/>
        <v>A</v>
      </c>
    </row>
    <row r="54" spans="2:6" x14ac:dyDescent="0.25">
      <c r="B54" s="78" t="s">
        <v>81</v>
      </c>
      <c r="C54" s="51">
        <v>28000</v>
      </c>
      <c r="D54" s="110">
        <f t="shared" si="0"/>
        <v>2800</v>
      </c>
      <c r="E54" s="110">
        <f t="shared" si="1"/>
        <v>25200</v>
      </c>
      <c r="F54" s="110" t="str">
        <f t="shared" si="2"/>
        <v>A</v>
      </c>
    </row>
    <row r="55" spans="2:6" x14ac:dyDescent="0.25">
      <c r="B55" s="78" t="s">
        <v>82</v>
      </c>
      <c r="C55" s="51">
        <v>39000</v>
      </c>
      <c r="D55" s="110">
        <f t="shared" si="0"/>
        <v>7800</v>
      </c>
      <c r="E55" s="110">
        <f t="shared" si="1"/>
        <v>31200</v>
      </c>
      <c r="F55" s="110" t="str">
        <f t="shared" si="2"/>
        <v>B</v>
      </c>
    </row>
    <row r="56" spans="2:6" x14ac:dyDescent="0.25">
      <c r="B56" s="78" t="s">
        <v>75</v>
      </c>
      <c r="C56" s="51">
        <v>39000</v>
      </c>
      <c r="D56" s="110">
        <f t="shared" si="0"/>
        <v>7800</v>
      </c>
      <c r="E56" s="110">
        <f t="shared" si="1"/>
        <v>31200</v>
      </c>
      <c r="F56" s="110" t="str">
        <f t="shared" si="2"/>
        <v>B</v>
      </c>
    </row>
    <row r="57" spans="2:6" x14ac:dyDescent="0.25">
      <c r="B57" s="78" t="s">
        <v>64</v>
      </c>
      <c r="C57" s="51">
        <v>39000</v>
      </c>
      <c r="D57" s="110">
        <f t="shared" si="0"/>
        <v>7800</v>
      </c>
      <c r="E57" s="110">
        <f t="shared" si="1"/>
        <v>31200</v>
      </c>
      <c r="F57" s="110" t="str">
        <f t="shared" si="2"/>
        <v>B</v>
      </c>
    </row>
    <row r="58" spans="2:6" x14ac:dyDescent="0.25">
      <c r="B58" s="78" t="s">
        <v>65</v>
      </c>
      <c r="C58" s="51">
        <v>39000</v>
      </c>
      <c r="D58" s="110">
        <f t="shared" si="0"/>
        <v>7800</v>
      </c>
      <c r="E58" s="110">
        <f t="shared" si="1"/>
        <v>31200</v>
      </c>
      <c r="F58" s="110" t="str">
        <f t="shared" si="2"/>
        <v>B</v>
      </c>
    </row>
    <row r="59" spans="2:6" x14ac:dyDescent="0.25">
      <c r="B59" s="78" t="s">
        <v>66</v>
      </c>
      <c r="C59" s="51">
        <v>33000</v>
      </c>
      <c r="D59" s="110">
        <f t="shared" si="0"/>
        <v>6600</v>
      </c>
      <c r="E59" s="110">
        <f t="shared" si="1"/>
        <v>26400</v>
      </c>
      <c r="F59" s="110" t="str">
        <f t="shared" si="2"/>
        <v>A</v>
      </c>
    </row>
    <row r="60" spans="2:6" x14ac:dyDescent="0.25">
      <c r="B60" s="78" t="s">
        <v>61</v>
      </c>
      <c r="C60" s="51">
        <v>40000</v>
      </c>
      <c r="D60" s="110">
        <f t="shared" si="0"/>
        <v>8000</v>
      </c>
      <c r="E60" s="110">
        <f t="shared" si="1"/>
        <v>32000</v>
      </c>
      <c r="F60" s="110" t="str">
        <f t="shared" si="2"/>
        <v>B</v>
      </c>
    </row>
    <row r="61" spans="2:6" x14ac:dyDescent="0.25">
      <c r="B61" s="78" t="s">
        <v>67</v>
      </c>
      <c r="C61" s="51">
        <v>28000</v>
      </c>
      <c r="D61" s="110">
        <f t="shared" si="0"/>
        <v>2800</v>
      </c>
      <c r="E61" s="110">
        <f t="shared" si="1"/>
        <v>25200</v>
      </c>
      <c r="F61" s="110" t="str">
        <f t="shared" si="2"/>
        <v>A</v>
      </c>
    </row>
    <row r="62" spans="2:6" x14ac:dyDescent="0.25">
      <c r="B62" s="78" t="s">
        <v>68</v>
      </c>
      <c r="C62" s="51">
        <v>33000</v>
      </c>
      <c r="D62" s="110">
        <f t="shared" si="0"/>
        <v>6600</v>
      </c>
      <c r="E62" s="110">
        <f t="shared" si="1"/>
        <v>26400</v>
      </c>
      <c r="F62" s="110" t="str">
        <f t="shared" si="2"/>
        <v>A</v>
      </c>
    </row>
    <row r="63" spans="2:6" x14ac:dyDescent="0.25">
      <c r="B63" s="78" t="s">
        <v>57</v>
      </c>
      <c r="C63" s="51">
        <v>28000</v>
      </c>
      <c r="D63" s="110">
        <f t="shared" si="0"/>
        <v>2800</v>
      </c>
      <c r="E63" s="110">
        <f t="shared" si="1"/>
        <v>25200</v>
      </c>
      <c r="F63" s="110" t="str">
        <f t="shared" si="2"/>
        <v>A</v>
      </c>
    </row>
    <row r="64" spans="2:6" x14ac:dyDescent="0.25">
      <c r="B64" s="78" t="s">
        <v>58</v>
      </c>
      <c r="C64" s="51">
        <v>39000</v>
      </c>
      <c r="D64" s="110">
        <f t="shared" si="0"/>
        <v>7800</v>
      </c>
      <c r="E64" s="110">
        <f t="shared" si="1"/>
        <v>31200</v>
      </c>
      <c r="F64" s="110" t="str">
        <f t="shared" si="2"/>
        <v>B</v>
      </c>
    </row>
    <row r="65" spans="2:6" x14ac:dyDescent="0.25">
      <c r="B65" s="78" t="s">
        <v>69</v>
      </c>
      <c r="C65" s="51">
        <v>35000</v>
      </c>
      <c r="D65" s="110">
        <f t="shared" si="0"/>
        <v>7000</v>
      </c>
      <c r="E65" s="110">
        <f t="shared" si="1"/>
        <v>28000</v>
      </c>
      <c r="F65" s="110" t="str">
        <f t="shared" si="2"/>
        <v>A</v>
      </c>
    </row>
    <row r="66" spans="2:6" x14ac:dyDescent="0.25">
      <c r="B66" s="78" t="s">
        <v>70</v>
      </c>
      <c r="C66" s="51">
        <v>39000</v>
      </c>
      <c r="D66" s="110">
        <f t="shared" si="0"/>
        <v>7800</v>
      </c>
      <c r="E66" s="110">
        <f t="shared" si="1"/>
        <v>31200</v>
      </c>
      <c r="F66" s="110" t="str">
        <f t="shared" si="2"/>
        <v>B</v>
      </c>
    </row>
    <row r="67" spans="2:6" x14ac:dyDescent="0.25">
      <c r="B67" s="78" t="s">
        <v>70</v>
      </c>
      <c r="C67" s="51">
        <v>39000</v>
      </c>
      <c r="D67" s="110">
        <f t="shared" si="0"/>
        <v>7800</v>
      </c>
      <c r="E67" s="110">
        <f t="shared" si="1"/>
        <v>31200</v>
      </c>
      <c r="F67" s="110" t="str">
        <f t="shared" si="2"/>
        <v>B</v>
      </c>
    </row>
    <row r="68" spans="2:6" x14ac:dyDescent="0.25">
      <c r="B68" s="78" t="s">
        <v>71</v>
      </c>
      <c r="C68" s="51">
        <v>35000</v>
      </c>
      <c r="D68" s="110">
        <f t="shared" ref="D68:D95" si="3">IF(C68&lt;31000,C68*10%,IF(C68&lt;41000,C68*20%,IF(C68&lt;50000,C68*30%,C68*40%)))</f>
        <v>7000</v>
      </c>
      <c r="E68" s="110">
        <f t="shared" ref="E68:E95" si="4">C68-D68</f>
        <v>28000</v>
      </c>
      <c r="F68" s="110" t="str">
        <f t="shared" ref="F68:F95" si="5">_xlfn.IFS(E68:E160&lt;31000, "A", AND(E68:E160&gt;=31000, E68:E160&lt;41000), "B", AND(E68:E160&gt;=41000, E68:E160&lt;50000), "C", E68:E160 &gt;= 50000, "D")</f>
        <v>A</v>
      </c>
    </row>
    <row r="69" spans="2:6" x14ac:dyDescent="0.25">
      <c r="B69" s="78" t="s">
        <v>72</v>
      </c>
      <c r="C69" s="51">
        <v>39000</v>
      </c>
      <c r="D69" s="110">
        <f t="shared" si="3"/>
        <v>7800</v>
      </c>
      <c r="E69" s="110">
        <f t="shared" si="4"/>
        <v>31200</v>
      </c>
      <c r="F69" s="110" t="str">
        <f t="shared" si="5"/>
        <v>B</v>
      </c>
    </row>
    <row r="70" spans="2:6" x14ac:dyDescent="0.25">
      <c r="B70" s="78" t="s">
        <v>73</v>
      </c>
      <c r="C70" s="51">
        <v>39000</v>
      </c>
      <c r="D70" s="110">
        <f t="shared" si="3"/>
        <v>7800</v>
      </c>
      <c r="E70" s="110">
        <f t="shared" si="4"/>
        <v>31200</v>
      </c>
      <c r="F70" s="110" t="str">
        <f t="shared" si="5"/>
        <v>B</v>
      </c>
    </row>
    <row r="71" spans="2:6" x14ac:dyDescent="0.25">
      <c r="B71" s="78" t="s">
        <v>69</v>
      </c>
      <c r="C71" s="51">
        <v>39000</v>
      </c>
      <c r="D71" s="110">
        <f t="shared" si="3"/>
        <v>7800</v>
      </c>
      <c r="E71" s="110">
        <f t="shared" si="4"/>
        <v>31200</v>
      </c>
      <c r="F71" s="110" t="str">
        <f t="shared" si="5"/>
        <v>B</v>
      </c>
    </row>
    <row r="72" spans="2:6" x14ac:dyDescent="0.25">
      <c r="B72" s="78" t="s">
        <v>70</v>
      </c>
      <c r="C72" s="51">
        <v>39000</v>
      </c>
      <c r="D72" s="110">
        <f t="shared" si="3"/>
        <v>7800</v>
      </c>
      <c r="E72" s="110">
        <f t="shared" si="4"/>
        <v>31200</v>
      </c>
      <c r="F72" s="110" t="str">
        <f t="shared" si="5"/>
        <v>B</v>
      </c>
    </row>
    <row r="73" spans="2:6" x14ac:dyDescent="0.25">
      <c r="B73" s="78" t="s">
        <v>71</v>
      </c>
      <c r="C73" s="51">
        <v>39000</v>
      </c>
      <c r="D73" s="110">
        <f t="shared" si="3"/>
        <v>7800</v>
      </c>
      <c r="E73" s="110">
        <f t="shared" si="4"/>
        <v>31200</v>
      </c>
      <c r="F73" s="110" t="str">
        <f t="shared" si="5"/>
        <v>B</v>
      </c>
    </row>
    <row r="74" spans="2:6" x14ac:dyDescent="0.25">
      <c r="B74" s="78" t="s">
        <v>72</v>
      </c>
      <c r="C74" s="51">
        <v>39000</v>
      </c>
      <c r="D74" s="110">
        <f t="shared" si="3"/>
        <v>7800</v>
      </c>
      <c r="E74" s="110">
        <f t="shared" si="4"/>
        <v>31200</v>
      </c>
      <c r="F74" s="110" t="str">
        <f t="shared" si="5"/>
        <v>B</v>
      </c>
    </row>
    <row r="75" spans="2:6" x14ac:dyDescent="0.25">
      <c r="B75" s="78" t="s">
        <v>73</v>
      </c>
      <c r="C75" s="51">
        <v>39000</v>
      </c>
      <c r="D75" s="110">
        <f t="shared" si="3"/>
        <v>7800</v>
      </c>
      <c r="E75" s="110">
        <f t="shared" si="4"/>
        <v>31200</v>
      </c>
      <c r="F75" s="110" t="str">
        <f t="shared" si="5"/>
        <v>B</v>
      </c>
    </row>
    <row r="76" spans="2:6" x14ac:dyDescent="0.25">
      <c r="B76" s="78" t="s">
        <v>74</v>
      </c>
      <c r="C76" s="51">
        <v>35000</v>
      </c>
      <c r="D76" s="110">
        <f t="shared" si="3"/>
        <v>7000</v>
      </c>
      <c r="E76" s="110">
        <f t="shared" si="4"/>
        <v>28000</v>
      </c>
      <c r="F76" s="110" t="str">
        <f t="shared" si="5"/>
        <v>A</v>
      </c>
    </row>
    <row r="77" spans="2:6" x14ac:dyDescent="0.25">
      <c r="B77" s="78" t="s">
        <v>77</v>
      </c>
      <c r="C77" s="51">
        <v>39000</v>
      </c>
      <c r="D77" s="110">
        <f t="shared" si="3"/>
        <v>7800</v>
      </c>
      <c r="E77" s="110">
        <f t="shared" si="4"/>
        <v>31200</v>
      </c>
      <c r="F77" s="110" t="str">
        <f t="shared" si="5"/>
        <v>B</v>
      </c>
    </row>
    <row r="78" spans="2:6" x14ac:dyDescent="0.25">
      <c r="B78" s="78" t="s">
        <v>78</v>
      </c>
      <c r="C78" s="51">
        <v>33000</v>
      </c>
      <c r="D78" s="110">
        <f t="shared" si="3"/>
        <v>6600</v>
      </c>
      <c r="E78" s="110">
        <f t="shared" si="4"/>
        <v>26400</v>
      </c>
      <c r="F78" s="110" t="str">
        <f t="shared" si="5"/>
        <v>A</v>
      </c>
    </row>
    <row r="79" spans="2:6" x14ac:dyDescent="0.25">
      <c r="B79" s="78" t="s">
        <v>79</v>
      </c>
      <c r="C79" s="51">
        <v>33000</v>
      </c>
      <c r="D79" s="110">
        <f t="shared" si="3"/>
        <v>6600</v>
      </c>
      <c r="E79" s="110">
        <f t="shared" si="4"/>
        <v>26400</v>
      </c>
      <c r="F79" s="110" t="str">
        <f t="shared" si="5"/>
        <v>A</v>
      </c>
    </row>
    <row r="80" spans="2:6" x14ac:dyDescent="0.25">
      <c r="B80" s="78" t="s">
        <v>80</v>
      </c>
      <c r="C80" s="51">
        <v>39000</v>
      </c>
      <c r="D80" s="110">
        <f t="shared" si="3"/>
        <v>7800</v>
      </c>
      <c r="E80" s="110">
        <f t="shared" si="4"/>
        <v>31200</v>
      </c>
      <c r="F80" s="110" t="str">
        <f t="shared" si="5"/>
        <v>B</v>
      </c>
    </row>
    <row r="81" spans="2:6" x14ac:dyDescent="0.25">
      <c r="B81" s="78" t="s">
        <v>70</v>
      </c>
      <c r="C81" s="51">
        <v>33000</v>
      </c>
      <c r="D81" s="110">
        <f t="shared" si="3"/>
        <v>6600</v>
      </c>
      <c r="E81" s="110">
        <f t="shared" si="4"/>
        <v>26400</v>
      </c>
      <c r="F81" s="110" t="str">
        <f t="shared" si="5"/>
        <v>A</v>
      </c>
    </row>
    <row r="82" spans="2:6" x14ac:dyDescent="0.25">
      <c r="B82" s="78" t="s">
        <v>71</v>
      </c>
      <c r="C82" s="51">
        <v>39000</v>
      </c>
      <c r="D82" s="110">
        <f t="shared" si="3"/>
        <v>7800</v>
      </c>
      <c r="E82" s="110">
        <f t="shared" si="4"/>
        <v>31200</v>
      </c>
      <c r="F82" s="110" t="str">
        <f t="shared" si="5"/>
        <v>B</v>
      </c>
    </row>
    <row r="83" spans="2:6" x14ac:dyDescent="0.25">
      <c r="B83" s="78" t="s">
        <v>72</v>
      </c>
      <c r="C83" s="51">
        <v>33000</v>
      </c>
      <c r="D83" s="110">
        <f t="shared" si="3"/>
        <v>6600</v>
      </c>
      <c r="E83" s="110">
        <f t="shared" si="4"/>
        <v>26400</v>
      </c>
      <c r="F83" s="110" t="str">
        <f t="shared" si="5"/>
        <v>A</v>
      </c>
    </row>
    <row r="84" spans="2:6" x14ac:dyDescent="0.25">
      <c r="B84" s="78" t="s">
        <v>73</v>
      </c>
      <c r="C84" s="51">
        <v>33000</v>
      </c>
      <c r="D84" s="110">
        <f t="shared" si="3"/>
        <v>6600</v>
      </c>
      <c r="E84" s="110">
        <f t="shared" si="4"/>
        <v>26400</v>
      </c>
      <c r="F84" s="110" t="str">
        <f t="shared" si="5"/>
        <v>A</v>
      </c>
    </row>
    <row r="85" spans="2:6" x14ac:dyDescent="0.25">
      <c r="B85" s="78" t="s">
        <v>73</v>
      </c>
      <c r="C85" s="51">
        <v>33000</v>
      </c>
      <c r="D85" s="110">
        <f t="shared" si="3"/>
        <v>6600</v>
      </c>
      <c r="E85" s="110">
        <f t="shared" si="4"/>
        <v>26400</v>
      </c>
      <c r="F85" s="110" t="str">
        <f t="shared" si="5"/>
        <v>A</v>
      </c>
    </row>
    <row r="86" spans="2:6" x14ac:dyDescent="0.25">
      <c r="B86" s="78" t="s">
        <v>74</v>
      </c>
      <c r="C86" s="51">
        <v>33000</v>
      </c>
      <c r="D86" s="110">
        <f t="shared" si="3"/>
        <v>6600</v>
      </c>
      <c r="E86" s="110">
        <f t="shared" si="4"/>
        <v>26400</v>
      </c>
      <c r="F86" s="110" t="str">
        <f t="shared" si="5"/>
        <v>A</v>
      </c>
    </row>
    <row r="87" spans="2:6" x14ac:dyDescent="0.25">
      <c r="B87" s="79" t="s">
        <v>75</v>
      </c>
      <c r="C87" s="51">
        <v>28000</v>
      </c>
      <c r="D87" s="110">
        <f t="shared" si="3"/>
        <v>2800</v>
      </c>
      <c r="E87" s="110">
        <f t="shared" si="4"/>
        <v>25200</v>
      </c>
      <c r="F87" s="110" t="str">
        <f t="shared" si="5"/>
        <v>A</v>
      </c>
    </row>
    <row r="88" spans="2:6" x14ac:dyDescent="0.25">
      <c r="B88" s="78" t="s">
        <v>62</v>
      </c>
      <c r="C88" s="51">
        <v>39000</v>
      </c>
      <c r="D88" s="110">
        <f t="shared" si="3"/>
        <v>7800</v>
      </c>
      <c r="E88" s="110">
        <f t="shared" si="4"/>
        <v>31200</v>
      </c>
      <c r="F88" s="110" t="str">
        <f t="shared" si="5"/>
        <v>B</v>
      </c>
    </row>
    <row r="89" spans="2:6" x14ac:dyDescent="0.25">
      <c r="B89" s="78" t="s">
        <v>63</v>
      </c>
      <c r="C89" s="51">
        <v>44000</v>
      </c>
      <c r="D89" s="110">
        <f t="shared" si="3"/>
        <v>13200</v>
      </c>
      <c r="E89" s="110">
        <f t="shared" si="4"/>
        <v>30800</v>
      </c>
      <c r="F89" s="110" t="str">
        <f t="shared" si="5"/>
        <v>A</v>
      </c>
    </row>
    <row r="90" spans="2:6" x14ac:dyDescent="0.25">
      <c r="B90" s="78" t="s">
        <v>64</v>
      </c>
      <c r="C90" s="51">
        <v>38000</v>
      </c>
      <c r="D90" s="110">
        <f t="shared" si="3"/>
        <v>7600</v>
      </c>
      <c r="E90" s="110">
        <f t="shared" si="4"/>
        <v>30400</v>
      </c>
      <c r="F90" s="110" t="str">
        <f t="shared" si="5"/>
        <v>A</v>
      </c>
    </row>
    <row r="91" spans="2:6" x14ac:dyDescent="0.25">
      <c r="B91" s="78" t="s">
        <v>65</v>
      </c>
      <c r="C91" s="51">
        <v>44000</v>
      </c>
      <c r="D91" s="110">
        <f t="shared" si="3"/>
        <v>13200</v>
      </c>
      <c r="E91" s="110">
        <f t="shared" si="4"/>
        <v>30800</v>
      </c>
      <c r="F91" s="110" t="str">
        <f t="shared" si="5"/>
        <v>A</v>
      </c>
    </row>
    <row r="92" spans="2:6" x14ac:dyDescent="0.25">
      <c r="B92" s="78" t="s">
        <v>66</v>
      </c>
      <c r="C92" s="51">
        <v>38000</v>
      </c>
      <c r="D92" s="110">
        <f t="shared" si="3"/>
        <v>7600</v>
      </c>
      <c r="E92" s="110">
        <f t="shared" si="4"/>
        <v>30400</v>
      </c>
      <c r="F92" s="110" t="str">
        <f t="shared" si="5"/>
        <v>A</v>
      </c>
    </row>
    <row r="93" spans="2:6" x14ac:dyDescent="0.25">
      <c r="B93" s="78" t="s">
        <v>61</v>
      </c>
      <c r="C93" s="51">
        <v>38000</v>
      </c>
      <c r="D93" s="110">
        <f t="shared" si="3"/>
        <v>7600</v>
      </c>
      <c r="E93" s="110">
        <f t="shared" si="4"/>
        <v>30400</v>
      </c>
      <c r="F93" s="110" t="str">
        <f t="shared" si="5"/>
        <v>A</v>
      </c>
    </row>
    <row r="94" spans="2:6" x14ac:dyDescent="0.25">
      <c r="B94" s="78" t="s">
        <v>67</v>
      </c>
      <c r="C94" s="51">
        <v>38000</v>
      </c>
      <c r="D94" s="110">
        <f t="shared" si="3"/>
        <v>7600</v>
      </c>
      <c r="E94" s="110">
        <f t="shared" si="4"/>
        <v>30400</v>
      </c>
      <c r="F94" s="110" t="str">
        <f t="shared" si="5"/>
        <v>A</v>
      </c>
    </row>
    <row r="95" spans="2:6" ht="14.4" thickBot="1" x14ac:dyDescent="0.3">
      <c r="B95" s="80" t="s">
        <v>68</v>
      </c>
      <c r="C95" s="52">
        <v>38000</v>
      </c>
      <c r="D95" s="110">
        <f t="shared" si="3"/>
        <v>7600</v>
      </c>
      <c r="E95" s="110">
        <f t="shared" si="4"/>
        <v>30400</v>
      </c>
      <c r="F95" s="110" t="str">
        <f t="shared" si="5"/>
        <v>A</v>
      </c>
    </row>
  </sheetData>
  <mergeCells count="2">
    <mergeCell ref="J16:K16"/>
    <mergeCell ref="J22:K22"/>
  </mergeCells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182D-1589-4138-B08D-027B1DE4F833}">
  <dimension ref="B3:N84"/>
  <sheetViews>
    <sheetView topLeftCell="A21" zoomScale="125" workbookViewId="0">
      <selection activeCell="O8" sqref="O8"/>
    </sheetView>
  </sheetViews>
  <sheetFormatPr defaultColWidth="8.77734375" defaultRowHeight="13.2" x14ac:dyDescent="0.25"/>
  <cols>
    <col min="1" max="4" width="8.77734375" style="97"/>
    <col min="5" max="5" width="11.21875" style="97" bestFit="1" customWidth="1"/>
    <col min="6" max="9" width="8.77734375" style="97"/>
    <col min="10" max="10" width="10.21875" style="97" bestFit="1" customWidth="1"/>
    <col min="11" max="11" width="14.44140625" style="97" bestFit="1" customWidth="1"/>
    <col min="12" max="12" width="10" style="97" bestFit="1" customWidth="1"/>
    <col min="13" max="13" width="8.77734375" style="97"/>
    <col min="14" max="14" width="10.5546875" style="97" customWidth="1"/>
    <col min="15" max="16384" width="8.77734375" style="97"/>
  </cols>
  <sheetData>
    <row r="3" spans="2:14" ht="13.8" thickBot="1" x14ac:dyDescent="0.3">
      <c r="J3" s="105" t="s">
        <v>173</v>
      </c>
      <c r="K3" s="105"/>
      <c r="L3" s="105"/>
      <c r="M3" s="105"/>
      <c r="N3" s="105"/>
    </row>
    <row r="4" spans="2:14" ht="13.8" thickBot="1" x14ac:dyDescent="0.3">
      <c r="B4" s="121" t="s">
        <v>102</v>
      </c>
      <c r="C4" s="122" t="s">
        <v>174</v>
      </c>
      <c r="D4" s="122" t="s">
        <v>19</v>
      </c>
      <c r="E4" s="122" t="s">
        <v>21</v>
      </c>
      <c r="F4" s="122" t="s">
        <v>175</v>
      </c>
      <c r="G4" s="122" t="s">
        <v>176</v>
      </c>
      <c r="H4" s="123" t="s">
        <v>177</v>
      </c>
    </row>
    <row r="5" spans="2:14" x14ac:dyDescent="0.25">
      <c r="B5" s="124" t="s">
        <v>7</v>
      </c>
      <c r="C5" s="125">
        <v>101</v>
      </c>
      <c r="D5" s="125">
        <v>500</v>
      </c>
      <c r="E5" s="125" t="s">
        <v>24</v>
      </c>
      <c r="F5" s="125">
        <v>35</v>
      </c>
      <c r="G5" s="125">
        <v>275</v>
      </c>
      <c r="H5" s="126">
        <v>10</v>
      </c>
      <c r="J5" s="133" t="s">
        <v>21</v>
      </c>
      <c r="K5" s="133" t="s">
        <v>249</v>
      </c>
      <c r="L5" s="133" t="s">
        <v>238</v>
      </c>
    </row>
    <row r="6" spans="2:14" x14ac:dyDescent="0.25">
      <c r="B6" s="127" t="s">
        <v>8</v>
      </c>
      <c r="C6" s="99">
        <v>102</v>
      </c>
      <c r="D6" s="99">
        <v>200</v>
      </c>
      <c r="E6" s="99" t="s">
        <v>24</v>
      </c>
      <c r="F6" s="99">
        <v>35</v>
      </c>
      <c r="G6" s="99">
        <v>268</v>
      </c>
      <c r="H6" s="128">
        <v>10</v>
      </c>
      <c r="J6" s="134" t="s">
        <v>24</v>
      </c>
      <c r="K6" s="100">
        <f>COUNTIF($E$5:$E$84, J6)</f>
        <v>11</v>
      </c>
      <c r="L6" s="100">
        <f>SUMIF($E$5:$E$84, J6, $D$5:$D$84)</f>
        <v>6820</v>
      </c>
    </row>
    <row r="7" spans="2:14" x14ac:dyDescent="0.25">
      <c r="B7" s="127" t="s">
        <v>9</v>
      </c>
      <c r="C7" s="99">
        <v>103</v>
      </c>
      <c r="D7" s="99">
        <v>680</v>
      </c>
      <c r="E7" s="99" t="s">
        <v>24</v>
      </c>
      <c r="F7" s="99">
        <v>35</v>
      </c>
      <c r="G7" s="99">
        <v>268</v>
      </c>
      <c r="H7" s="128">
        <v>10</v>
      </c>
      <c r="J7" s="102" t="s">
        <v>29</v>
      </c>
      <c r="K7" s="100">
        <f t="shared" ref="K7:K14" si="0">COUNTIF($E$5:$E$84, J7)</f>
        <v>5</v>
      </c>
      <c r="L7" s="100">
        <f t="shared" ref="L7:L14" si="1">SUMIF($E$5:$E$84, J7, $D$5:$D$84)</f>
        <v>2325</v>
      </c>
    </row>
    <row r="8" spans="2:14" x14ac:dyDescent="0.25">
      <c r="B8" s="127" t="s">
        <v>10</v>
      </c>
      <c r="C8" s="99">
        <v>104</v>
      </c>
      <c r="D8" s="99">
        <v>680</v>
      </c>
      <c r="E8" s="99" t="s">
        <v>24</v>
      </c>
      <c r="F8" s="99">
        <v>37</v>
      </c>
      <c r="G8" s="99">
        <v>268</v>
      </c>
      <c r="H8" s="128">
        <v>11</v>
      </c>
      <c r="J8" s="102" t="s">
        <v>42</v>
      </c>
      <c r="K8" s="100">
        <f t="shared" si="0"/>
        <v>40</v>
      </c>
      <c r="L8" s="100">
        <f t="shared" si="1"/>
        <v>29755</v>
      </c>
    </row>
    <row r="9" spans="2:14" x14ac:dyDescent="0.25">
      <c r="B9" s="127" t="s">
        <v>11</v>
      </c>
      <c r="C9" s="99">
        <v>105</v>
      </c>
      <c r="D9" s="99">
        <v>680</v>
      </c>
      <c r="E9" s="99" t="s">
        <v>24</v>
      </c>
      <c r="F9" s="99">
        <v>37</v>
      </c>
      <c r="G9" s="99">
        <v>274</v>
      </c>
      <c r="H9" s="128">
        <v>11</v>
      </c>
      <c r="J9" s="102" t="s">
        <v>37</v>
      </c>
      <c r="K9" s="100">
        <f t="shared" si="0"/>
        <v>7</v>
      </c>
      <c r="L9" s="100">
        <f t="shared" si="1"/>
        <v>4165</v>
      </c>
    </row>
    <row r="10" spans="2:14" x14ac:dyDescent="0.25">
      <c r="B10" s="127" t="s">
        <v>12</v>
      </c>
      <c r="C10" s="99">
        <v>106</v>
      </c>
      <c r="D10" s="99">
        <v>680</v>
      </c>
      <c r="E10" s="99" t="s">
        <v>24</v>
      </c>
      <c r="F10" s="99">
        <v>38</v>
      </c>
      <c r="G10" s="99">
        <v>275</v>
      </c>
      <c r="H10" s="128">
        <v>13</v>
      </c>
      <c r="J10" s="102" t="s">
        <v>186</v>
      </c>
      <c r="K10" s="100">
        <f t="shared" si="0"/>
        <v>1</v>
      </c>
      <c r="L10" s="100">
        <f t="shared" si="1"/>
        <v>500</v>
      </c>
    </row>
    <row r="11" spans="2:14" x14ac:dyDescent="0.25">
      <c r="B11" s="127" t="s">
        <v>13</v>
      </c>
      <c r="C11" s="99">
        <v>107</v>
      </c>
      <c r="D11" s="99">
        <v>680</v>
      </c>
      <c r="E11" s="99" t="s">
        <v>24</v>
      </c>
      <c r="F11" s="99">
        <v>40</v>
      </c>
      <c r="G11" s="99">
        <v>274</v>
      </c>
      <c r="H11" s="128">
        <v>13</v>
      </c>
      <c r="J11" s="102" t="s">
        <v>32</v>
      </c>
      <c r="K11" s="100">
        <f t="shared" si="0"/>
        <v>5</v>
      </c>
      <c r="L11" s="100">
        <f t="shared" si="1"/>
        <v>2920</v>
      </c>
    </row>
    <row r="12" spans="2:14" x14ac:dyDescent="0.25">
      <c r="B12" s="127" t="s">
        <v>14</v>
      </c>
      <c r="C12" s="99">
        <v>108</v>
      </c>
      <c r="D12" s="99">
        <v>925</v>
      </c>
      <c r="E12" s="99" t="s">
        <v>29</v>
      </c>
      <c r="F12" s="99">
        <v>40</v>
      </c>
      <c r="G12" s="99">
        <v>274</v>
      </c>
      <c r="H12" s="128">
        <v>8</v>
      </c>
      <c r="J12" s="102" t="s">
        <v>192</v>
      </c>
      <c r="K12" s="100">
        <f t="shared" si="0"/>
        <v>1</v>
      </c>
      <c r="L12" s="100">
        <f t="shared" si="1"/>
        <v>500</v>
      </c>
    </row>
    <row r="13" spans="2:14" x14ac:dyDescent="0.25">
      <c r="B13" s="127" t="s">
        <v>15</v>
      </c>
      <c r="C13" s="99">
        <v>109</v>
      </c>
      <c r="D13" s="99">
        <v>200</v>
      </c>
      <c r="E13" s="99" t="s">
        <v>29</v>
      </c>
      <c r="F13" s="99">
        <v>40</v>
      </c>
      <c r="G13" s="99">
        <v>274</v>
      </c>
      <c r="H13" s="128">
        <v>10</v>
      </c>
      <c r="J13" s="102" t="s">
        <v>196</v>
      </c>
      <c r="K13" s="100">
        <f t="shared" si="0"/>
        <v>4</v>
      </c>
      <c r="L13" s="100">
        <f t="shared" si="1"/>
        <v>2360</v>
      </c>
    </row>
    <row r="14" spans="2:14" x14ac:dyDescent="0.25">
      <c r="B14" s="127" t="s">
        <v>179</v>
      </c>
      <c r="C14" s="99">
        <v>110</v>
      </c>
      <c r="D14" s="99">
        <v>500</v>
      </c>
      <c r="E14" s="99" t="s">
        <v>29</v>
      </c>
      <c r="F14" s="99">
        <v>41</v>
      </c>
      <c r="G14" s="99">
        <v>268</v>
      </c>
      <c r="H14" s="128">
        <v>4</v>
      </c>
      <c r="J14" s="102" t="s">
        <v>197</v>
      </c>
      <c r="K14" s="100">
        <f t="shared" si="0"/>
        <v>6</v>
      </c>
      <c r="L14" s="100">
        <f t="shared" si="1"/>
        <v>5235</v>
      </c>
    </row>
    <row r="15" spans="2:14" x14ac:dyDescent="0.25">
      <c r="B15" s="127" t="s">
        <v>180</v>
      </c>
      <c r="C15" s="99">
        <v>111</v>
      </c>
      <c r="D15" s="99">
        <v>500</v>
      </c>
      <c r="E15" s="99" t="s">
        <v>29</v>
      </c>
      <c r="F15" s="99">
        <v>42</v>
      </c>
      <c r="G15" s="99">
        <v>268</v>
      </c>
      <c r="H15" s="128">
        <v>4</v>
      </c>
    </row>
    <row r="16" spans="2:14" x14ac:dyDescent="0.25">
      <c r="B16" s="127" t="s">
        <v>181</v>
      </c>
      <c r="C16" s="99">
        <v>112</v>
      </c>
      <c r="D16" s="99">
        <v>200</v>
      </c>
      <c r="E16" s="99" t="s">
        <v>29</v>
      </c>
      <c r="F16" s="99">
        <v>32</v>
      </c>
      <c r="G16" s="99">
        <v>274</v>
      </c>
      <c r="H16" s="128">
        <v>4</v>
      </c>
    </row>
    <row r="17" spans="2:14" x14ac:dyDescent="0.25">
      <c r="B17" s="127" t="s">
        <v>182</v>
      </c>
      <c r="C17" s="99">
        <v>113</v>
      </c>
      <c r="D17" s="99">
        <v>680</v>
      </c>
      <c r="E17" s="99" t="s">
        <v>42</v>
      </c>
      <c r="F17" s="99">
        <v>32</v>
      </c>
      <c r="G17" s="99">
        <v>274</v>
      </c>
      <c r="H17" s="128">
        <v>6</v>
      </c>
    </row>
    <row r="18" spans="2:14" x14ac:dyDescent="0.25">
      <c r="B18" s="127" t="s">
        <v>89</v>
      </c>
      <c r="C18" s="99">
        <v>114</v>
      </c>
      <c r="D18" s="99">
        <v>680</v>
      </c>
      <c r="E18" s="99" t="s">
        <v>42</v>
      </c>
      <c r="F18" s="99">
        <v>32</v>
      </c>
      <c r="G18" s="99">
        <v>274</v>
      </c>
      <c r="H18" s="128">
        <v>11</v>
      </c>
    </row>
    <row r="19" spans="2:14" x14ac:dyDescent="0.25">
      <c r="B19" s="127" t="s">
        <v>183</v>
      </c>
      <c r="C19" s="99">
        <v>115</v>
      </c>
      <c r="D19" s="99">
        <v>925</v>
      </c>
      <c r="E19" s="99" t="s">
        <v>42</v>
      </c>
      <c r="F19" s="99">
        <v>32</v>
      </c>
      <c r="G19" s="99">
        <v>274</v>
      </c>
      <c r="H19" s="128">
        <v>11</v>
      </c>
      <c r="J19" s="105" t="s">
        <v>178</v>
      </c>
      <c r="K19" s="105"/>
      <c r="L19" s="105"/>
      <c r="M19" s="105"/>
      <c r="N19" s="105"/>
    </row>
    <row r="20" spans="2:14" x14ac:dyDescent="0.25">
      <c r="B20" s="127" t="s">
        <v>184</v>
      </c>
      <c r="C20" s="99">
        <v>116</v>
      </c>
      <c r="D20" s="99">
        <v>925</v>
      </c>
      <c r="E20" s="99" t="s">
        <v>37</v>
      </c>
      <c r="F20" s="99">
        <v>35</v>
      </c>
      <c r="G20" s="99">
        <v>270</v>
      </c>
      <c r="H20" s="128">
        <v>6</v>
      </c>
    </row>
    <row r="21" spans="2:14" x14ac:dyDescent="0.25">
      <c r="B21" s="127" t="s">
        <v>184</v>
      </c>
      <c r="C21" s="99">
        <v>117</v>
      </c>
      <c r="D21" s="99">
        <v>680</v>
      </c>
      <c r="E21" s="99" t="s">
        <v>24</v>
      </c>
      <c r="F21" s="99">
        <v>42</v>
      </c>
      <c r="G21" s="99">
        <v>274</v>
      </c>
      <c r="H21" s="128">
        <v>9</v>
      </c>
    </row>
    <row r="22" spans="2:14" x14ac:dyDescent="0.25">
      <c r="B22" s="127" t="s">
        <v>185</v>
      </c>
      <c r="C22" s="99">
        <v>118</v>
      </c>
      <c r="D22" s="99">
        <v>500</v>
      </c>
      <c r="E22" s="99" t="s">
        <v>186</v>
      </c>
      <c r="F22" s="99">
        <v>35</v>
      </c>
      <c r="G22" s="99">
        <v>274</v>
      </c>
      <c r="H22" s="128">
        <v>7</v>
      </c>
    </row>
    <row r="23" spans="2:14" x14ac:dyDescent="0.25">
      <c r="B23" s="127" t="s">
        <v>187</v>
      </c>
      <c r="C23" s="99">
        <v>119</v>
      </c>
      <c r="D23" s="99">
        <v>200</v>
      </c>
      <c r="E23" s="99" t="s">
        <v>32</v>
      </c>
      <c r="F23" s="99">
        <v>36</v>
      </c>
      <c r="G23" s="99">
        <v>274</v>
      </c>
      <c r="H23" s="128">
        <v>7</v>
      </c>
    </row>
    <row r="24" spans="2:14" x14ac:dyDescent="0.25">
      <c r="B24" s="127" t="s">
        <v>188</v>
      </c>
      <c r="C24" s="99">
        <v>120</v>
      </c>
      <c r="D24" s="99">
        <v>680</v>
      </c>
      <c r="E24" s="99" t="s">
        <v>32</v>
      </c>
      <c r="F24" s="99">
        <v>36</v>
      </c>
      <c r="G24" s="99">
        <v>274</v>
      </c>
      <c r="H24" s="128">
        <v>9</v>
      </c>
    </row>
    <row r="25" spans="2:14" x14ac:dyDescent="0.25">
      <c r="B25" s="127" t="s">
        <v>189</v>
      </c>
      <c r="C25" s="99">
        <v>121</v>
      </c>
      <c r="D25" s="99">
        <v>770</v>
      </c>
      <c r="E25" s="99" t="s">
        <v>32</v>
      </c>
      <c r="F25" s="99">
        <v>37</v>
      </c>
      <c r="G25" s="99">
        <v>274</v>
      </c>
      <c r="H25" s="128">
        <v>10</v>
      </c>
    </row>
    <row r="26" spans="2:14" x14ac:dyDescent="0.25">
      <c r="B26" s="127" t="s">
        <v>190</v>
      </c>
      <c r="C26" s="99">
        <v>122</v>
      </c>
      <c r="D26" s="99">
        <v>770</v>
      </c>
      <c r="E26" s="99" t="s">
        <v>32</v>
      </c>
      <c r="F26" s="99">
        <v>37</v>
      </c>
      <c r="G26" s="99">
        <v>274</v>
      </c>
      <c r="H26" s="128">
        <v>10</v>
      </c>
    </row>
    <row r="27" spans="2:14" x14ac:dyDescent="0.25">
      <c r="B27" s="127" t="s">
        <v>191</v>
      </c>
      <c r="C27" s="99">
        <v>123</v>
      </c>
      <c r="D27" s="99">
        <v>500</v>
      </c>
      <c r="E27" s="99" t="s">
        <v>192</v>
      </c>
      <c r="F27" s="99">
        <v>38</v>
      </c>
      <c r="G27" s="99">
        <v>274</v>
      </c>
      <c r="H27" s="128">
        <v>10</v>
      </c>
    </row>
    <row r="28" spans="2:14" x14ac:dyDescent="0.25">
      <c r="B28" s="127" t="s">
        <v>193</v>
      </c>
      <c r="C28" s="99">
        <v>124</v>
      </c>
      <c r="D28" s="99">
        <v>1405</v>
      </c>
      <c r="E28" s="99" t="s">
        <v>42</v>
      </c>
      <c r="F28" s="99">
        <v>38</v>
      </c>
      <c r="G28" s="99">
        <v>270</v>
      </c>
      <c r="H28" s="128">
        <v>11</v>
      </c>
    </row>
    <row r="29" spans="2:14" x14ac:dyDescent="0.25">
      <c r="B29" s="127" t="s">
        <v>194</v>
      </c>
      <c r="C29" s="99">
        <v>125</v>
      </c>
      <c r="D29" s="99">
        <v>1405</v>
      </c>
      <c r="E29" s="99" t="s">
        <v>42</v>
      </c>
      <c r="F29" s="99">
        <v>38</v>
      </c>
      <c r="G29" s="99">
        <v>270</v>
      </c>
      <c r="H29" s="128">
        <v>12</v>
      </c>
    </row>
    <row r="30" spans="2:14" x14ac:dyDescent="0.25">
      <c r="B30" s="127" t="s">
        <v>88</v>
      </c>
      <c r="C30" s="99">
        <v>126</v>
      </c>
      <c r="D30" s="99">
        <v>1110</v>
      </c>
      <c r="E30" s="99" t="s">
        <v>42</v>
      </c>
      <c r="F30" s="99">
        <v>39</v>
      </c>
      <c r="G30" s="99">
        <v>274</v>
      </c>
      <c r="H30" s="128">
        <v>13</v>
      </c>
    </row>
    <row r="31" spans="2:14" x14ac:dyDescent="0.25">
      <c r="B31" s="127" t="s">
        <v>195</v>
      </c>
      <c r="C31" s="99">
        <v>127</v>
      </c>
      <c r="D31" s="99">
        <v>500</v>
      </c>
      <c r="E31" s="99" t="s">
        <v>42</v>
      </c>
      <c r="F31" s="99">
        <v>41</v>
      </c>
      <c r="G31" s="99">
        <v>274</v>
      </c>
      <c r="H31" s="128">
        <v>14</v>
      </c>
    </row>
    <row r="32" spans="2:14" x14ac:dyDescent="0.25">
      <c r="B32" s="129" t="s">
        <v>62</v>
      </c>
      <c r="C32" s="99">
        <v>128</v>
      </c>
      <c r="D32" s="99">
        <v>665</v>
      </c>
      <c r="E32" s="99" t="s">
        <v>42</v>
      </c>
      <c r="F32" s="99">
        <v>42</v>
      </c>
      <c r="G32" s="99">
        <v>274</v>
      </c>
      <c r="H32" s="128">
        <v>4</v>
      </c>
    </row>
    <row r="33" spans="2:8" x14ac:dyDescent="0.25">
      <c r="B33" s="129" t="s">
        <v>63</v>
      </c>
      <c r="C33" s="99">
        <v>129</v>
      </c>
      <c r="D33" s="99">
        <v>665</v>
      </c>
      <c r="E33" s="99" t="s">
        <v>42</v>
      </c>
      <c r="F33" s="99">
        <v>42</v>
      </c>
      <c r="G33" s="99">
        <v>274</v>
      </c>
      <c r="H33" s="128">
        <v>5</v>
      </c>
    </row>
    <row r="34" spans="2:8" x14ac:dyDescent="0.25">
      <c r="B34" s="129" t="s">
        <v>64</v>
      </c>
      <c r="C34" s="99">
        <v>130</v>
      </c>
      <c r="D34" s="99">
        <v>200</v>
      </c>
      <c r="E34" s="99" t="s">
        <v>42</v>
      </c>
      <c r="F34" s="99">
        <v>42</v>
      </c>
      <c r="G34" s="99">
        <v>274</v>
      </c>
      <c r="H34" s="128">
        <v>5</v>
      </c>
    </row>
    <row r="35" spans="2:8" x14ac:dyDescent="0.25">
      <c r="B35" s="129" t="s">
        <v>65</v>
      </c>
      <c r="C35" s="99">
        <v>131</v>
      </c>
      <c r="D35" s="99">
        <v>500</v>
      </c>
      <c r="E35" s="99" t="s">
        <v>42</v>
      </c>
      <c r="F35" s="99">
        <v>42</v>
      </c>
      <c r="G35" s="99">
        <v>274</v>
      </c>
      <c r="H35" s="128">
        <v>10</v>
      </c>
    </row>
    <row r="36" spans="2:8" x14ac:dyDescent="0.25">
      <c r="B36" s="129" t="s">
        <v>66</v>
      </c>
      <c r="C36" s="99">
        <v>132</v>
      </c>
      <c r="D36" s="99">
        <v>445</v>
      </c>
      <c r="E36" s="99" t="s">
        <v>42</v>
      </c>
      <c r="F36" s="99">
        <v>42</v>
      </c>
      <c r="G36" s="99">
        <v>274</v>
      </c>
      <c r="H36" s="128">
        <v>10</v>
      </c>
    </row>
    <row r="37" spans="2:8" x14ac:dyDescent="0.25">
      <c r="B37" s="129" t="s">
        <v>61</v>
      </c>
      <c r="C37" s="99">
        <v>133</v>
      </c>
      <c r="D37" s="99">
        <v>445</v>
      </c>
      <c r="E37" s="99" t="s">
        <v>42</v>
      </c>
      <c r="F37" s="99">
        <v>34</v>
      </c>
      <c r="G37" s="99">
        <v>268</v>
      </c>
      <c r="H37" s="128">
        <v>10</v>
      </c>
    </row>
    <row r="38" spans="2:8" x14ac:dyDescent="0.25">
      <c r="B38" s="129" t="s">
        <v>67</v>
      </c>
      <c r="C38" s="99">
        <v>134</v>
      </c>
      <c r="D38" s="99">
        <v>445</v>
      </c>
      <c r="E38" s="99" t="s">
        <v>42</v>
      </c>
      <c r="F38" s="99">
        <v>34</v>
      </c>
      <c r="G38" s="99">
        <v>268</v>
      </c>
      <c r="H38" s="128">
        <v>10</v>
      </c>
    </row>
    <row r="39" spans="2:8" x14ac:dyDescent="0.25">
      <c r="B39" s="129" t="s">
        <v>68</v>
      </c>
      <c r="C39" s="99">
        <v>135</v>
      </c>
      <c r="D39" s="99">
        <v>445</v>
      </c>
      <c r="E39" s="99" t="s">
        <v>37</v>
      </c>
      <c r="F39" s="99">
        <v>35</v>
      </c>
      <c r="G39" s="99">
        <v>274</v>
      </c>
      <c r="H39" s="128">
        <v>3</v>
      </c>
    </row>
    <row r="40" spans="2:8" x14ac:dyDescent="0.25">
      <c r="B40" s="129" t="s">
        <v>57</v>
      </c>
      <c r="C40" s="99">
        <v>136</v>
      </c>
      <c r="D40" s="99">
        <v>445</v>
      </c>
      <c r="E40" s="99" t="s">
        <v>37</v>
      </c>
      <c r="F40" s="99">
        <v>35</v>
      </c>
      <c r="G40" s="99">
        <v>274</v>
      </c>
      <c r="H40" s="128">
        <v>7</v>
      </c>
    </row>
    <row r="41" spans="2:8" x14ac:dyDescent="0.25">
      <c r="B41" s="129" t="s">
        <v>58</v>
      </c>
      <c r="C41" s="99">
        <v>137</v>
      </c>
      <c r="D41" s="99">
        <v>500</v>
      </c>
      <c r="E41" s="99" t="s">
        <v>196</v>
      </c>
      <c r="F41" s="99">
        <v>35</v>
      </c>
      <c r="G41" s="99">
        <v>274</v>
      </c>
      <c r="H41" s="128">
        <v>13</v>
      </c>
    </row>
    <row r="42" spans="2:8" x14ac:dyDescent="0.25">
      <c r="B42" s="129" t="s">
        <v>58</v>
      </c>
      <c r="C42" s="99">
        <v>138</v>
      </c>
      <c r="D42" s="99">
        <v>680</v>
      </c>
      <c r="E42" s="99" t="s">
        <v>42</v>
      </c>
      <c r="F42" s="99">
        <v>31</v>
      </c>
      <c r="G42" s="99">
        <v>278</v>
      </c>
      <c r="H42" s="128">
        <v>4</v>
      </c>
    </row>
    <row r="43" spans="2:8" x14ac:dyDescent="0.25">
      <c r="B43" s="129" t="s">
        <v>59</v>
      </c>
      <c r="C43" s="99">
        <v>139</v>
      </c>
      <c r="D43" s="99">
        <v>200</v>
      </c>
      <c r="E43" s="99" t="s">
        <v>197</v>
      </c>
      <c r="F43" s="99">
        <v>35</v>
      </c>
      <c r="G43" s="99">
        <v>274</v>
      </c>
      <c r="H43" s="128">
        <v>14</v>
      </c>
    </row>
    <row r="44" spans="2:8" x14ac:dyDescent="0.25">
      <c r="B44" s="129" t="s">
        <v>60</v>
      </c>
      <c r="C44" s="99">
        <v>140</v>
      </c>
      <c r="D44" s="99">
        <v>740</v>
      </c>
      <c r="E44" s="99" t="s">
        <v>42</v>
      </c>
      <c r="F44" s="99">
        <v>37</v>
      </c>
      <c r="G44" s="99">
        <v>275</v>
      </c>
      <c r="H44" s="128">
        <v>9</v>
      </c>
    </row>
    <row r="45" spans="2:8" x14ac:dyDescent="0.25">
      <c r="B45" s="129" t="s">
        <v>76</v>
      </c>
      <c r="C45" s="99">
        <v>141</v>
      </c>
      <c r="D45" s="99">
        <v>740</v>
      </c>
      <c r="E45" s="99" t="s">
        <v>42</v>
      </c>
      <c r="F45" s="99">
        <v>37</v>
      </c>
      <c r="G45" s="99">
        <v>274</v>
      </c>
      <c r="H45" s="128">
        <v>9</v>
      </c>
    </row>
    <row r="46" spans="2:8" x14ac:dyDescent="0.25">
      <c r="B46" s="129" t="s">
        <v>69</v>
      </c>
      <c r="C46" s="99">
        <v>142</v>
      </c>
      <c r="D46" s="99">
        <v>200</v>
      </c>
      <c r="E46" s="99" t="s">
        <v>42</v>
      </c>
      <c r="F46" s="99">
        <v>41</v>
      </c>
      <c r="G46" s="99">
        <v>263</v>
      </c>
      <c r="H46" s="128">
        <v>10</v>
      </c>
    </row>
    <row r="47" spans="2:8" x14ac:dyDescent="0.25">
      <c r="B47" s="129" t="s">
        <v>70</v>
      </c>
      <c r="C47" s="99">
        <v>143</v>
      </c>
      <c r="D47" s="99">
        <v>945</v>
      </c>
      <c r="E47" s="99" t="s">
        <v>42</v>
      </c>
      <c r="F47" s="99">
        <v>31</v>
      </c>
      <c r="G47" s="99">
        <v>274</v>
      </c>
      <c r="H47" s="128">
        <v>10</v>
      </c>
    </row>
    <row r="48" spans="2:8" x14ac:dyDescent="0.25">
      <c r="B48" s="129" t="s">
        <v>71</v>
      </c>
      <c r="C48" s="99">
        <v>144</v>
      </c>
      <c r="D48" s="99">
        <v>500</v>
      </c>
      <c r="E48" s="99" t="s">
        <v>42</v>
      </c>
      <c r="F48" s="99">
        <v>31</v>
      </c>
      <c r="G48" s="99">
        <v>274</v>
      </c>
      <c r="H48" s="128">
        <v>3</v>
      </c>
    </row>
    <row r="49" spans="2:8" x14ac:dyDescent="0.25">
      <c r="B49" s="129" t="s">
        <v>72</v>
      </c>
      <c r="C49" s="99">
        <v>145</v>
      </c>
      <c r="D49" s="99">
        <v>475</v>
      </c>
      <c r="E49" s="99" t="s">
        <v>42</v>
      </c>
      <c r="F49" s="99">
        <v>31</v>
      </c>
      <c r="G49" s="99">
        <v>270</v>
      </c>
      <c r="H49" s="128">
        <v>4</v>
      </c>
    </row>
    <row r="50" spans="2:8" x14ac:dyDescent="0.25">
      <c r="B50" s="129" t="s">
        <v>73</v>
      </c>
      <c r="C50" s="99">
        <v>146</v>
      </c>
      <c r="D50" s="99">
        <v>680</v>
      </c>
      <c r="E50" s="99" t="s">
        <v>42</v>
      </c>
      <c r="F50" s="99">
        <v>31</v>
      </c>
      <c r="G50" s="99">
        <v>274</v>
      </c>
      <c r="H50" s="128">
        <v>4</v>
      </c>
    </row>
    <row r="51" spans="2:8" x14ac:dyDescent="0.25">
      <c r="B51" s="129" t="s">
        <v>74</v>
      </c>
      <c r="C51" s="99">
        <v>147</v>
      </c>
      <c r="D51" s="99">
        <v>680</v>
      </c>
      <c r="E51" s="99" t="s">
        <v>42</v>
      </c>
      <c r="F51" s="99">
        <v>34</v>
      </c>
      <c r="G51" s="99">
        <v>274</v>
      </c>
      <c r="H51" s="128">
        <v>5</v>
      </c>
    </row>
    <row r="52" spans="2:8" x14ac:dyDescent="0.25">
      <c r="B52" s="129" t="s">
        <v>77</v>
      </c>
      <c r="C52" s="99">
        <v>148</v>
      </c>
      <c r="D52" s="99">
        <v>200</v>
      </c>
      <c r="E52" s="99" t="s">
        <v>42</v>
      </c>
      <c r="F52" s="99">
        <v>35</v>
      </c>
      <c r="G52" s="99">
        <v>274</v>
      </c>
      <c r="H52" s="128">
        <v>5</v>
      </c>
    </row>
    <row r="53" spans="2:8" x14ac:dyDescent="0.25">
      <c r="B53" s="129" t="s">
        <v>78</v>
      </c>
      <c r="C53" s="99">
        <v>149</v>
      </c>
      <c r="D53" s="99">
        <v>475</v>
      </c>
      <c r="E53" s="99" t="s">
        <v>37</v>
      </c>
      <c r="F53" s="99">
        <v>35</v>
      </c>
      <c r="G53" s="99">
        <v>274</v>
      </c>
      <c r="H53" s="128">
        <v>5</v>
      </c>
    </row>
    <row r="54" spans="2:8" x14ac:dyDescent="0.25">
      <c r="B54" s="129" t="s">
        <v>79</v>
      </c>
      <c r="C54" s="99">
        <v>150</v>
      </c>
      <c r="D54" s="99">
        <v>500</v>
      </c>
      <c r="E54" s="99" t="s">
        <v>196</v>
      </c>
      <c r="F54" s="99">
        <v>36</v>
      </c>
      <c r="G54" s="99">
        <v>274</v>
      </c>
      <c r="H54" s="128">
        <v>7</v>
      </c>
    </row>
    <row r="55" spans="2:8" x14ac:dyDescent="0.25">
      <c r="B55" s="129" t="s">
        <v>80</v>
      </c>
      <c r="C55" s="99">
        <v>151</v>
      </c>
      <c r="D55" s="99">
        <v>475</v>
      </c>
      <c r="E55" s="99" t="s">
        <v>37</v>
      </c>
      <c r="F55" s="99">
        <v>36</v>
      </c>
      <c r="G55" s="99">
        <v>274</v>
      </c>
      <c r="H55" s="128">
        <v>7</v>
      </c>
    </row>
    <row r="56" spans="2:8" x14ac:dyDescent="0.25">
      <c r="B56" s="129" t="s">
        <v>81</v>
      </c>
      <c r="C56" s="99">
        <v>152</v>
      </c>
      <c r="D56" s="99">
        <v>475</v>
      </c>
      <c r="E56" s="99" t="s">
        <v>37</v>
      </c>
      <c r="F56" s="99">
        <v>36</v>
      </c>
      <c r="G56" s="99">
        <v>274</v>
      </c>
      <c r="H56" s="128">
        <v>7</v>
      </c>
    </row>
    <row r="57" spans="2:8" x14ac:dyDescent="0.25">
      <c r="B57" s="129" t="s">
        <v>82</v>
      </c>
      <c r="C57" s="99">
        <v>153</v>
      </c>
      <c r="D57" s="99">
        <v>870</v>
      </c>
      <c r="E57" s="99" t="s">
        <v>197</v>
      </c>
      <c r="F57" s="99">
        <v>37</v>
      </c>
      <c r="G57" s="99">
        <v>274</v>
      </c>
      <c r="H57" s="128">
        <v>7</v>
      </c>
    </row>
    <row r="58" spans="2:8" x14ac:dyDescent="0.25">
      <c r="B58" s="129" t="s">
        <v>75</v>
      </c>
      <c r="C58" s="99">
        <v>154</v>
      </c>
      <c r="D58" s="99">
        <v>870</v>
      </c>
      <c r="E58" s="99" t="s">
        <v>42</v>
      </c>
      <c r="F58" s="99">
        <v>37</v>
      </c>
      <c r="G58" s="99">
        <v>270</v>
      </c>
      <c r="H58" s="128">
        <v>7</v>
      </c>
    </row>
    <row r="59" spans="2:8" x14ac:dyDescent="0.25">
      <c r="B59" s="129" t="s">
        <v>198</v>
      </c>
      <c r="C59" s="99">
        <v>155</v>
      </c>
      <c r="D59" s="99">
        <v>200</v>
      </c>
      <c r="E59" s="99" t="s">
        <v>42</v>
      </c>
      <c r="F59" s="99">
        <v>37</v>
      </c>
      <c r="G59" s="99">
        <v>274</v>
      </c>
      <c r="H59" s="128">
        <v>7</v>
      </c>
    </row>
    <row r="60" spans="2:8" x14ac:dyDescent="0.25">
      <c r="B60" s="129" t="s">
        <v>199</v>
      </c>
      <c r="C60" s="99">
        <v>156</v>
      </c>
      <c r="D60" s="99">
        <v>500</v>
      </c>
      <c r="E60" s="99" t="s">
        <v>32</v>
      </c>
      <c r="F60" s="99">
        <v>37</v>
      </c>
      <c r="G60" s="99">
        <v>274</v>
      </c>
      <c r="H60" s="128">
        <v>8</v>
      </c>
    </row>
    <row r="61" spans="2:8" x14ac:dyDescent="0.25">
      <c r="B61" s="129" t="s">
        <v>200</v>
      </c>
      <c r="C61" s="99">
        <v>157</v>
      </c>
      <c r="D61" s="99">
        <v>925</v>
      </c>
      <c r="E61" s="99" t="s">
        <v>42</v>
      </c>
      <c r="F61" s="99">
        <v>37</v>
      </c>
      <c r="G61" s="99">
        <v>274</v>
      </c>
      <c r="H61" s="128">
        <v>8</v>
      </c>
    </row>
    <row r="62" spans="2:8" x14ac:dyDescent="0.25">
      <c r="B62" s="129" t="s">
        <v>201</v>
      </c>
      <c r="C62" s="99">
        <v>158</v>
      </c>
      <c r="D62" s="99">
        <v>925</v>
      </c>
      <c r="E62" s="99" t="s">
        <v>42</v>
      </c>
      <c r="F62" s="99">
        <v>38</v>
      </c>
      <c r="G62" s="99">
        <v>274</v>
      </c>
      <c r="H62" s="128">
        <v>9</v>
      </c>
    </row>
    <row r="63" spans="2:8" x14ac:dyDescent="0.25">
      <c r="B63" s="129" t="s">
        <v>202</v>
      </c>
      <c r="C63" s="99">
        <v>159</v>
      </c>
      <c r="D63" s="99">
        <v>680</v>
      </c>
      <c r="E63" s="99" t="s">
        <v>42</v>
      </c>
      <c r="F63" s="99">
        <v>38</v>
      </c>
      <c r="G63" s="99">
        <v>274</v>
      </c>
      <c r="H63" s="128">
        <v>9</v>
      </c>
    </row>
    <row r="64" spans="2:8" x14ac:dyDescent="0.25">
      <c r="B64" s="129" t="s">
        <v>203</v>
      </c>
      <c r="C64" s="99">
        <v>160</v>
      </c>
      <c r="D64" s="99">
        <v>680</v>
      </c>
      <c r="E64" s="99" t="s">
        <v>42</v>
      </c>
      <c r="F64" s="99">
        <v>38</v>
      </c>
      <c r="G64" s="99">
        <v>274</v>
      </c>
      <c r="H64" s="128">
        <v>9</v>
      </c>
    </row>
    <row r="65" spans="2:8" x14ac:dyDescent="0.25">
      <c r="B65" s="129" t="s">
        <v>204</v>
      </c>
      <c r="C65" s="99">
        <v>161</v>
      </c>
      <c r="D65" s="99">
        <v>680</v>
      </c>
      <c r="E65" s="99" t="s">
        <v>42</v>
      </c>
      <c r="F65" s="99">
        <v>38</v>
      </c>
      <c r="G65" s="99">
        <v>274</v>
      </c>
      <c r="H65" s="128">
        <v>9</v>
      </c>
    </row>
    <row r="66" spans="2:8" x14ac:dyDescent="0.25">
      <c r="B66" s="129" t="s">
        <v>205</v>
      </c>
      <c r="C66" s="99">
        <v>162</v>
      </c>
      <c r="D66" s="99">
        <v>200</v>
      </c>
      <c r="E66" s="99" t="s">
        <v>42</v>
      </c>
      <c r="F66" s="99">
        <v>39</v>
      </c>
      <c r="G66" s="99">
        <v>274</v>
      </c>
      <c r="H66" s="128">
        <v>9</v>
      </c>
    </row>
    <row r="67" spans="2:8" x14ac:dyDescent="0.25">
      <c r="B67" s="129" t="s">
        <v>206</v>
      </c>
      <c r="C67" s="99">
        <v>163</v>
      </c>
      <c r="D67" s="99">
        <v>1200</v>
      </c>
      <c r="E67" s="99" t="s">
        <v>42</v>
      </c>
      <c r="F67" s="99">
        <v>39</v>
      </c>
      <c r="G67" s="99">
        <v>274</v>
      </c>
      <c r="H67" s="128">
        <v>10</v>
      </c>
    </row>
    <row r="68" spans="2:8" x14ac:dyDescent="0.25">
      <c r="B68" s="129" t="s">
        <v>207</v>
      </c>
      <c r="C68" s="99">
        <v>164</v>
      </c>
      <c r="D68" s="99">
        <v>1080</v>
      </c>
      <c r="E68" s="99" t="s">
        <v>42</v>
      </c>
      <c r="F68" s="99">
        <v>39</v>
      </c>
      <c r="G68" s="99">
        <v>274</v>
      </c>
      <c r="H68" s="128">
        <v>12</v>
      </c>
    </row>
    <row r="69" spans="2:8" x14ac:dyDescent="0.25">
      <c r="B69" s="129" t="s">
        <v>208</v>
      </c>
      <c r="C69" s="99">
        <v>165</v>
      </c>
      <c r="D69" s="99">
        <v>1080</v>
      </c>
      <c r="E69" s="99" t="s">
        <v>197</v>
      </c>
      <c r="F69" s="99">
        <v>40</v>
      </c>
      <c r="G69" s="99">
        <v>274</v>
      </c>
      <c r="H69" s="128">
        <v>12</v>
      </c>
    </row>
    <row r="70" spans="2:8" x14ac:dyDescent="0.25">
      <c r="B70" s="129" t="s">
        <v>209</v>
      </c>
      <c r="C70" s="99">
        <v>166</v>
      </c>
      <c r="D70" s="99">
        <v>1080</v>
      </c>
      <c r="E70" s="99" t="s">
        <v>197</v>
      </c>
      <c r="F70" s="99">
        <v>40</v>
      </c>
      <c r="G70" s="99">
        <v>274</v>
      </c>
      <c r="H70" s="128">
        <v>14</v>
      </c>
    </row>
    <row r="71" spans="2:8" x14ac:dyDescent="0.25">
      <c r="B71" s="129" t="s">
        <v>210</v>
      </c>
      <c r="C71" s="99">
        <v>167</v>
      </c>
      <c r="D71" s="99">
        <v>1200</v>
      </c>
      <c r="E71" s="99" t="s">
        <v>42</v>
      </c>
      <c r="F71" s="99">
        <v>41</v>
      </c>
      <c r="G71" s="99">
        <v>274</v>
      </c>
      <c r="H71" s="128">
        <v>14</v>
      </c>
    </row>
    <row r="72" spans="2:8" x14ac:dyDescent="0.25">
      <c r="B72" s="129" t="s">
        <v>211</v>
      </c>
      <c r="C72" s="99">
        <v>168</v>
      </c>
      <c r="D72" s="99">
        <v>1200</v>
      </c>
      <c r="E72" s="99" t="s">
        <v>42</v>
      </c>
      <c r="F72" s="99">
        <v>42</v>
      </c>
      <c r="G72" s="99">
        <v>274</v>
      </c>
      <c r="H72" s="128">
        <v>4</v>
      </c>
    </row>
    <row r="73" spans="2:8" x14ac:dyDescent="0.25">
      <c r="B73" s="129" t="s">
        <v>212</v>
      </c>
      <c r="C73" s="99">
        <v>169</v>
      </c>
      <c r="D73" s="99">
        <v>1080</v>
      </c>
      <c r="E73" s="99" t="s">
        <v>197</v>
      </c>
      <c r="F73" s="99">
        <v>42</v>
      </c>
      <c r="G73" s="99">
        <v>274</v>
      </c>
      <c r="H73" s="128">
        <v>7</v>
      </c>
    </row>
    <row r="74" spans="2:8" x14ac:dyDescent="0.25">
      <c r="B74" s="129" t="s">
        <v>213</v>
      </c>
      <c r="C74" s="99">
        <v>170</v>
      </c>
      <c r="D74" s="99">
        <v>925</v>
      </c>
      <c r="E74" s="99" t="s">
        <v>42</v>
      </c>
      <c r="F74" s="99">
        <v>42</v>
      </c>
      <c r="G74" s="99">
        <v>274</v>
      </c>
      <c r="H74" s="128">
        <v>7</v>
      </c>
    </row>
    <row r="75" spans="2:8" x14ac:dyDescent="0.25">
      <c r="B75" s="129" t="s">
        <v>214</v>
      </c>
      <c r="C75" s="99">
        <v>171</v>
      </c>
      <c r="D75" s="99">
        <v>925</v>
      </c>
      <c r="E75" s="99" t="s">
        <v>197</v>
      </c>
      <c r="F75" s="99">
        <v>35</v>
      </c>
      <c r="G75" s="99">
        <v>275</v>
      </c>
      <c r="H75" s="128">
        <v>7</v>
      </c>
    </row>
    <row r="76" spans="2:8" x14ac:dyDescent="0.25">
      <c r="B76" s="129" t="s">
        <v>215</v>
      </c>
      <c r="C76" s="99">
        <v>172</v>
      </c>
      <c r="D76" s="99">
        <v>925</v>
      </c>
      <c r="E76" s="99" t="s">
        <v>37</v>
      </c>
      <c r="F76" s="99">
        <v>36</v>
      </c>
      <c r="G76" s="99">
        <v>275</v>
      </c>
      <c r="H76" s="128">
        <v>9</v>
      </c>
    </row>
    <row r="77" spans="2:8" x14ac:dyDescent="0.25">
      <c r="B77" s="129" t="s">
        <v>216</v>
      </c>
      <c r="C77" s="99">
        <v>173</v>
      </c>
      <c r="D77" s="99">
        <v>680</v>
      </c>
      <c r="E77" s="99" t="s">
        <v>42</v>
      </c>
      <c r="F77" s="99">
        <v>34</v>
      </c>
      <c r="G77" s="99">
        <v>275</v>
      </c>
      <c r="H77" s="128">
        <v>9</v>
      </c>
    </row>
    <row r="78" spans="2:8" x14ac:dyDescent="0.25">
      <c r="B78" s="129" t="s">
        <v>217</v>
      </c>
      <c r="C78" s="99">
        <v>174</v>
      </c>
      <c r="D78" s="99">
        <v>680</v>
      </c>
      <c r="E78" s="99" t="s">
        <v>196</v>
      </c>
      <c r="F78" s="99">
        <v>40</v>
      </c>
      <c r="G78" s="99">
        <v>274</v>
      </c>
      <c r="H78" s="128">
        <v>10</v>
      </c>
    </row>
    <row r="79" spans="2:8" x14ac:dyDescent="0.25">
      <c r="B79" s="129" t="s">
        <v>218</v>
      </c>
      <c r="C79" s="99">
        <v>175</v>
      </c>
      <c r="D79" s="99">
        <v>680</v>
      </c>
      <c r="E79" s="99" t="s">
        <v>196</v>
      </c>
      <c r="F79" s="99">
        <v>40</v>
      </c>
      <c r="G79" s="99">
        <v>274</v>
      </c>
      <c r="H79" s="128">
        <v>11</v>
      </c>
    </row>
    <row r="80" spans="2:8" x14ac:dyDescent="0.25">
      <c r="B80" s="129" t="s">
        <v>219</v>
      </c>
      <c r="C80" s="99">
        <v>176</v>
      </c>
      <c r="D80" s="99">
        <v>680</v>
      </c>
      <c r="E80" s="99" t="s">
        <v>24</v>
      </c>
      <c r="F80" s="99">
        <v>40</v>
      </c>
      <c r="G80" s="99">
        <v>274</v>
      </c>
      <c r="H80" s="128">
        <v>6</v>
      </c>
    </row>
    <row r="81" spans="2:8" x14ac:dyDescent="0.25">
      <c r="B81" s="129" t="s">
        <v>220</v>
      </c>
      <c r="C81" s="99">
        <v>177</v>
      </c>
      <c r="D81" s="99">
        <v>680</v>
      </c>
      <c r="E81" s="99" t="s">
        <v>24</v>
      </c>
      <c r="F81" s="99">
        <v>42</v>
      </c>
      <c r="G81" s="99">
        <v>274</v>
      </c>
      <c r="H81" s="128">
        <v>9</v>
      </c>
    </row>
    <row r="82" spans="2:8" x14ac:dyDescent="0.25">
      <c r="B82" s="129" t="s">
        <v>221</v>
      </c>
      <c r="C82" s="99">
        <v>178</v>
      </c>
      <c r="D82" s="99">
        <v>680</v>
      </c>
      <c r="E82" s="99" t="s">
        <v>24</v>
      </c>
      <c r="F82" s="99">
        <v>42</v>
      </c>
      <c r="G82" s="99">
        <v>274</v>
      </c>
      <c r="H82" s="128">
        <v>11</v>
      </c>
    </row>
    <row r="83" spans="2:8" x14ac:dyDescent="0.25">
      <c r="B83" s="129" t="s">
        <v>222</v>
      </c>
      <c r="C83" s="99">
        <v>179</v>
      </c>
      <c r="D83" s="99">
        <v>1200</v>
      </c>
      <c r="E83" s="99" t="s">
        <v>42</v>
      </c>
      <c r="F83" s="99">
        <v>42</v>
      </c>
      <c r="G83" s="99">
        <v>268</v>
      </c>
      <c r="H83" s="128">
        <v>14</v>
      </c>
    </row>
    <row r="84" spans="2:8" ht="13.8" thickBot="1" x14ac:dyDescent="0.3">
      <c r="B84" s="130" t="s">
        <v>223</v>
      </c>
      <c r="C84" s="131">
        <v>180</v>
      </c>
      <c r="D84" s="131">
        <v>1200</v>
      </c>
      <c r="E84" s="131" t="s">
        <v>42</v>
      </c>
      <c r="F84" s="131">
        <v>32</v>
      </c>
      <c r="G84" s="131">
        <v>271</v>
      </c>
      <c r="H84" s="132">
        <v>4</v>
      </c>
    </row>
  </sheetData>
  <mergeCells count="2">
    <mergeCell ref="J3:N3"/>
    <mergeCell ref="J19:N1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B7C8-D853-47F8-96FE-6373BB42092C}">
  <dimension ref="A1:R81"/>
  <sheetViews>
    <sheetView zoomScaleNormal="100" workbookViewId="0">
      <selection activeCell="L16" sqref="L16"/>
    </sheetView>
  </sheetViews>
  <sheetFormatPr defaultColWidth="8.77734375" defaultRowHeight="13.8" x14ac:dyDescent="0.25"/>
  <cols>
    <col min="1" max="4" width="8.77734375" style="94"/>
    <col min="5" max="5" width="10.6640625" style="94" bestFit="1" customWidth="1"/>
    <col min="6" max="10" width="8.77734375" style="94"/>
    <col min="11" max="11" width="9.6640625" style="94" customWidth="1"/>
    <col min="12" max="12" width="23" style="94" customWidth="1"/>
    <col min="13" max="13" width="20.77734375" style="94" customWidth="1"/>
    <col min="14" max="14" width="13.44140625" style="94" customWidth="1"/>
    <col min="15" max="16384" width="8.77734375" style="94"/>
  </cols>
  <sheetData>
    <row r="1" spans="1:18" ht="14.4" thickBot="1" x14ac:dyDescent="0.3">
      <c r="A1" s="135" t="s">
        <v>102</v>
      </c>
      <c r="B1" s="136" t="s">
        <v>174</v>
      </c>
      <c r="C1" s="136" t="s">
        <v>19</v>
      </c>
      <c r="D1" s="136" t="s">
        <v>21</v>
      </c>
      <c r="E1" s="136" t="s">
        <v>175</v>
      </c>
      <c r="F1" s="136" t="s">
        <v>176</v>
      </c>
      <c r="G1" s="137" t="s">
        <v>177</v>
      </c>
    </row>
    <row r="2" spans="1:18" x14ac:dyDescent="0.25">
      <c r="A2" s="116" t="s">
        <v>7</v>
      </c>
      <c r="B2" s="138">
        <v>101</v>
      </c>
      <c r="C2" s="138">
        <v>500</v>
      </c>
      <c r="D2" s="138" t="s">
        <v>24</v>
      </c>
      <c r="E2" s="138">
        <v>35</v>
      </c>
      <c r="F2" s="138">
        <v>275</v>
      </c>
      <c r="G2" s="139">
        <v>10</v>
      </c>
    </row>
    <row r="3" spans="1:18" x14ac:dyDescent="0.25">
      <c r="A3" s="118" t="s">
        <v>8</v>
      </c>
      <c r="B3" s="95">
        <v>102</v>
      </c>
      <c r="C3" s="95">
        <v>200</v>
      </c>
      <c r="D3" s="95" t="s">
        <v>24</v>
      </c>
      <c r="E3" s="95">
        <v>35</v>
      </c>
      <c r="F3" s="95">
        <v>268</v>
      </c>
      <c r="G3" s="140">
        <v>10</v>
      </c>
    </row>
    <row r="4" spans="1:18" x14ac:dyDescent="0.25">
      <c r="A4" s="118" t="s">
        <v>9</v>
      </c>
      <c r="B4" s="95">
        <v>103</v>
      </c>
      <c r="C4" s="95">
        <v>680</v>
      </c>
      <c r="D4" s="95" t="s">
        <v>24</v>
      </c>
      <c r="E4" s="95">
        <v>35</v>
      </c>
      <c r="F4" s="95">
        <v>268</v>
      </c>
      <c r="G4" s="140">
        <v>10</v>
      </c>
    </row>
    <row r="5" spans="1:18" ht="15" customHeight="1" x14ac:dyDescent="0.25">
      <c r="A5" s="118" t="s">
        <v>10</v>
      </c>
      <c r="B5" s="95">
        <v>104</v>
      </c>
      <c r="C5" s="95">
        <v>680</v>
      </c>
      <c r="D5" s="95" t="s">
        <v>24</v>
      </c>
      <c r="E5" s="95">
        <v>37</v>
      </c>
      <c r="F5" s="95">
        <v>268</v>
      </c>
      <c r="G5" s="140">
        <v>11</v>
      </c>
      <c r="L5" s="144" t="s">
        <v>224</v>
      </c>
      <c r="M5" s="144"/>
      <c r="N5" s="144"/>
      <c r="O5" s="143"/>
      <c r="P5" s="143"/>
      <c r="Q5" s="143"/>
      <c r="R5" s="143"/>
    </row>
    <row r="6" spans="1:18" ht="14.4" customHeight="1" x14ac:dyDescent="0.25">
      <c r="A6" s="118" t="s">
        <v>11</v>
      </c>
      <c r="B6" s="95">
        <v>105</v>
      </c>
      <c r="C6" s="95">
        <v>680</v>
      </c>
      <c r="D6" s="95" t="s">
        <v>24</v>
      </c>
      <c r="E6" s="95">
        <v>37</v>
      </c>
      <c r="F6" s="95">
        <v>274</v>
      </c>
      <c r="G6" s="140">
        <v>11</v>
      </c>
      <c r="L6" s="144" t="s">
        <v>225</v>
      </c>
      <c r="M6" s="144"/>
      <c r="N6" s="144"/>
      <c r="O6" s="143"/>
      <c r="P6" s="143"/>
      <c r="Q6" s="143"/>
      <c r="R6" s="143"/>
    </row>
    <row r="7" spans="1:18" ht="14.4" customHeight="1" x14ac:dyDescent="0.25">
      <c r="A7" s="118" t="s">
        <v>12</v>
      </c>
      <c r="B7" s="95">
        <v>106</v>
      </c>
      <c r="C7" s="95">
        <v>680</v>
      </c>
      <c r="D7" s="95" t="s">
        <v>24</v>
      </c>
      <c r="E7" s="95">
        <v>38</v>
      </c>
      <c r="F7" s="95">
        <v>275</v>
      </c>
      <c r="G7" s="140">
        <v>13</v>
      </c>
      <c r="L7" s="144" t="s">
        <v>226</v>
      </c>
      <c r="M7" s="144"/>
      <c r="N7" s="144"/>
      <c r="O7" s="143"/>
      <c r="P7" s="143"/>
      <c r="Q7" s="143"/>
      <c r="R7" s="143"/>
    </row>
    <row r="8" spans="1:18" x14ac:dyDescent="0.25">
      <c r="A8" s="118" t="s">
        <v>13</v>
      </c>
      <c r="B8" s="95">
        <v>107</v>
      </c>
      <c r="C8" s="95">
        <v>680</v>
      </c>
      <c r="D8" s="95" t="s">
        <v>24</v>
      </c>
      <c r="E8" s="95">
        <v>40</v>
      </c>
      <c r="F8" s="95">
        <v>274</v>
      </c>
      <c r="G8" s="140">
        <v>13</v>
      </c>
    </row>
    <row r="9" spans="1:18" x14ac:dyDescent="0.25">
      <c r="A9" s="118" t="s">
        <v>14</v>
      </c>
      <c r="B9" s="95">
        <v>108</v>
      </c>
      <c r="C9" s="95">
        <v>925</v>
      </c>
      <c r="D9" s="95" t="s">
        <v>29</v>
      </c>
      <c r="E9" s="95">
        <v>40</v>
      </c>
      <c r="F9" s="95">
        <v>274</v>
      </c>
      <c r="G9" s="140">
        <v>8</v>
      </c>
      <c r="L9" s="117" t="s">
        <v>250</v>
      </c>
      <c r="M9" s="117" t="s">
        <v>251</v>
      </c>
      <c r="N9" s="117" t="s">
        <v>252</v>
      </c>
    </row>
    <row r="10" spans="1:18" x14ac:dyDescent="0.25">
      <c r="A10" s="118" t="s">
        <v>15</v>
      </c>
      <c r="B10" s="95">
        <v>109</v>
      </c>
      <c r="C10" s="95">
        <v>200</v>
      </c>
      <c r="D10" s="95" t="s">
        <v>29</v>
      </c>
      <c r="E10" s="95">
        <v>40</v>
      </c>
      <c r="F10" s="95">
        <v>274</v>
      </c>
      <c r="G10" s="140">
        <v>10</v>
      </c>
      <c r="L10" s="95">
        <f>COUNTA(A2:A81)</f>
        <v>80</v>
      </c>
      <c r="M10" s="95">
        <f>COUNTA(B2:B81)</f>
        <v>76</v>
      </c>
      <c r="N10" s="95">
        <f>COUNTBLANK(B2:B81)</f>
        <v>4</v>
      </c>
    </row>
    <row r="11" spans="1:18" x14ac:dyDescent="0.25">
      <c r="A11" s="118" t="s">
        <v>179</v>
      </c>
      <c r="B11" s="95">
        <v>110</v>
      </c>
      <c r="C11" s="95">
        <v>500</v>
      </c>
      <c r="D11" s="95" t="s">
        <v>29</v>
      </c>
      <c r="E11" s="95">
        <v>41</v>
      </c>
      <c r="F11" s="95">
        <v>268</v>
      </c>
      <c r="G11" s="140">
        <v>4</v>
      </c>
    </row>
    <row r="12" spans="1:18" x14ac:dyDescent="0.25">
      <c r="A12" s="118" t="s">
        <v>180</v>
      </c>
      <c r="B12" s="95">
        <v>111</v>
      </c>
      <c r="C12" s="95">
        <v>500</v>
      </c>
      <c r="D12" s="95" t="s">
        <v>29</v>
      </c>
      <c r="E12" s="95">
        <v>42</v>
      </c>
      <c r="F12" s="95">
        <v>268</v>
      </c>
      <c r="G12" s="140">
        <v>4</v>
      </c>
    </row>
    <row r="13" spans="1:18" x14ac:dyDescent="0.25">
      <c r="A13" s="118" t="s">
        <v>181</v>
      </c>
      <c r="B13" s="95">
        <v>112</v>
      </c>
      <c r="C13" s="95">
        <v>200</v>
      </c>
      <c r="D13" s="95" t="s">
        <v>29</v>
      </c>
      <c r="E13" s="95">
        <v>32</v>
      </c>
      <c r="F13" s="95">
        <v>274</v>
      </c>
      <c r="G13" s="140">
        <v>4</v>
      </c>
    </row>
    <row r="14" spans="1:18" x14ac:dyDescent="0.25">
      <c r="A14" s="118" t="s">
        <v>182</v>
      </c>
      <c r="B14" s="95">
        <v>113</v>
      </c>
      <c r="C14" s="95">
        <v>680</v>
      </c>
      <c r="D14" s="95" t="s">
        <v>42</v>
      </c>
      <c r="E14" s="95">
        <v>32</v>
      </c>
      <c r="F14" s="95">
        <v>274</v>
      </c>
      <c r="G14" s="140">
        <v>6</v>
      </c>
    </row>
    <row r="15" spans="1:18" x14ac:dyDescent="0.25">
      <c r="A15" s="118" t="s">
        <v>89</v>
      </c>
      <c r="B15" s="95">
        <v>114</v>
      </c>
      <c r="C15" s="95">
        <v>680</v>
      </c>
      <c r="D15" s="95" t="s">
        <v>42</v>
      </c>
      <c r="E15" s="95">
        <v>32</v>
      </c>
      <c r="F15" s="95">
        <v>274</v>
      </c>
      <c r="G15" s="140">
        <v>11</v>
      </c>
    </row>
    <row r="16" spans="1:18" x14ac:dyDescent="0.25">
      <c r="A16" s="118" t="s">
        <v>183</v>
      </c>
      <c r="B16" s="95">
        <v>115</v>
      </c>
      <c r="C16" s="95">
        <v>925</v>
      </c>
      <c r="D16" s="95" t="s">
        <v>42</v>
      </c>
      <c r="E16" s="95">
        <v>32</v>
      </c>
      <c r="F16" s="95">
        <v>274</v>
      </c>
      <c r="G16" s="140">
        <v>11</v>
      </c>
    </row>
    <row r="17" spans="1:7" x14ac:dyDescent="0.25">
      <c r="A17" s="118" t="s">
        <v>184</v>
      </c>
      <c r="B17" s="95">
        <v>116</v>
      </c>
      <c r="C17" s="95">
        <v>925</v>
      </c>
      <c r="D17" s="95" t="s">
        <v>37</v>
      </c>
      <c r="E17" s="95">
        <v>35</v>
      </c>
      <c r="F17" s="95">
        <v>270</v>
      </c>
      <c r="G17" s="140">
        <v>6</v>
      </c>
    </row>
    <row r="18" spans="1:7" x14ac:dyDescent="0.25">
      <c r="A18" s="118" t="s">
        <v>184</v>
      </c>
      <c r="B18" s="95">
        <v>117</v>
      </c>
      <c r="C18" s="95">
        <v>680</v>
      </c>
      <c r="D18" s="95" t="s">
        <v>24</v>
      </c>
      <c r="E18" s="95">
        <v>42</v>
      </c>
      <c r="F18" s="95">
        <v>274</v>
      </c>
      <c r="G18" s="140">
        <v>9</v>
      </c>
    </row>
    <row r="19" spans="1:7" x14ac:dyDescent="0.25">
      <c r="A19" s="118" t="s">
        <v>185</v>
      </c>
      <c r="B19" s="95">
        <v>118</v>
      </c>
      <c r="C19" s="95">
        <v>500</v>
      </c>
      <c r="D19" s="95" t="s">
        <v>186</v>
      </c>
      <c r="E19" s="95">
        <v>35</v>
      </c>
      <c r="F19" s="95">
        <v>274</v>
      </c>
      <c r="G19" s="140">
        <v>7</v>
      </c>
    </row>
    <row r="20" spans="1:7" x14ac:dyDescent="0.25">
      <c r="A20" s="118" t="s">
        <v>187</v>
      </c>
      <c r="B20" s="95">
        <v>119</v>
      </c>
      <c r="C20" s="95">
        <v>200</v>
      </c>
      <c r="D20" s="95" t="s">
        <v>32</v>
      </c>
      <c r="E20" s="95">
        <v>36</v>
      </c>
      <c r="F20" s="95">
        <v>274</v>
      </c>
      <c r="G20" s="140">
        <v>7</v>
      </c>
    </row>
    <row r="21" spans="1:7" x14ac:dyDescent="0.25">
      <c r="A21" s="118" t="s">
        <v>188</v>
      </c>
      <c r="B21" s="95">
        <v>120</v>
      </c>
      <c r="C21" s="95">
        <v>680</v>
      </c>
      <c r="D21" s="95" t="s">
        <v>32</v>
      </c>
      <c r="E21" s="95">
        <v>36</v>
      </c>
      <c r="F21" s="95">
        <v>274</v>
      </c>
      <c r="G21" s="140">
        <v>9</v>
      </c>
    </row>
    <row r="22" spans="1:7" x14ac:dyDescent="0.25">
      <c r="A22" s="118" t="s">
        <v>189</v>
      </c>
      <c r="B22" s="95">
        <v>121</v>
      </c>
      <c r="C22" s="95">
        <v>770</v>
      </c>
      <c r="D22" s="95" t="s">
        <v>32</v>
      </c>
      <c r="E22" s="95">
        <v>37</v>
      </c>
      <c r="F22" s="95">
        <v>274</v>
      </c>
      <c r="G22" s="140">
        <v>10</v>
      </c>
    </row>
    <row r="23" spans="1:7" x14ac:dyDescent="0.25">
      <c r="A23" s="118" t="s">
        <v>190</v>
      </c>
      <c r="B23" s="95">
        <v>122</v>
      </c>
      <c r="C23" s="95">
        <v>770</v>
      </c>
      <c r="D23" s="95" t="s">
        <v>32</v>
      </c>
      <c r="E23" s="95">
        <v>37</v>
      </c>
      <c r="F23" s="95">
        <v>274</v>
      </c>
      <c r="G23" s="140">
        <v>10</v>
      </c>
    </row>
    <row r="24" spans="1:7" x14ac:dyDescent="0.25">
      <c r="A24" s="118" t="s">
        <v>191</v>
      </c>
      <c r="B24" s="95">
        <v>123</v>
      </c>
      <c r="C24" s="95">
        <v>500</v>
      </c>
      <c r="D24" s="95" t="s">
        <v>192</v>
      </c>
      <c r="E24" s="95">
        <v>38</v>
      </c>
      <c r="F24" s="95">
        <v>274</v>
      </c>
      <c r="G24" s="140">
        <v>10</v>
      </c>
    </row>
    <row r="25" spans="1:7" x14ac:dyDescent="0.25">
      <c r="A25" s="118" t="s">
        <v>193</v>
      </c>
      <c r="B25" s="95"/>
      <c r="C25" s="95">
        <v>1405</v>
      </c>
      <c r="D25" s="95" t="s">
        <v>42</v>
      </c>
      <c r="E25" s="95">
        <v>38</v>
      </c>
      <c r="F25" s="95">
        <v>270</v>
      </c>
      <c r="G25" s="140">
        <v>11</v>
      </c>
    </row>
    <row r="26" spans="1:7" x14ac:dyDescent="0.25">
      <c r="A26" s="118" t="s">
        <v>194</v>
      </c>
      <c r="B26" s="95">
        <v>125</v>
      </c>
      <c r="C26" s="95">
        <v>1405</v>
      </c>
      <c r="D26" s="95" t="s">
        <v>42</v>
      </c>
      <c r="E26" s="95">
        <v>38</v>
      </c>
      <c r="F26" s="95">
        <v>270</v>
      </c>
      <c r="G26" s="140">
        <v>12</v>
      </c>
    </row>
    <row r="27" spans="1:7" x14ac:dyDescent="0.25">
      <c r="A27" s="118" t="s">
        <v>88</v>
      </c>
      <c r="B27" s="95">
        <v>126</v>
      </c>
      <c r="C27" s="95">
        <v>1110</v>
      </c>
      <c r="D27" s="95" t="s">
        <v>42</v>
      </c>
      <c r="E27" s="95">
        <v>39</v>
      </c>
      <c r="F27" s="95">
        <v>274</v>
      </c>
      <c r="G27" s="140">
        <v>13</v>
      </c>
    </row>
    <row r="28" spans="1:7" x14ac:dyDescent="0.25">
      <c r="A28" s="118" t="s">
        <v>195</v>
      </c>
      <c r="B28" s="95">
        <v>127</v>
      </c>
      <c r="C28" s="95">
        <v>500</v>
      </c>
      <c r="D28" s="95" t="s">
        <v>42</v>
      </c>
      <c r="E28" s="95">
        <v>41</v>
      </c>
      <c r="F28" s="95">
        <v>274</v>
      </c>
      <c r="G28" s="140">
        <v>14</v>
      </c>
    </row>
    <row r="29" spans="1:7" x14ac:dyDescent="0.25">
      <c r="A29" s="119" t="s">
        <v>62</v>
      </c>
      <c r="B29" s="95">
        <v>128</v>
      </c>
      <c r="C29" s="95">
        <v>665</v>
      </c>
      <c r="D29" s="95" t="s">
        <v>42</v>
      </c>
      <c r="E29" s="95">
        <v>42</v>
      </c>
      <c r="F29" s="95">
        <v>274</v>
      </c>
      <c r="G29" s="140">
        <v>4</v>
      </c>
    </row>
    <row r="30" spans="1:7" x14ac:dyDescent="0.25">
      <c r="A30" s="119" t="s">
        <v>63</v>
      </c>
      <c r="B30" s="95">
        <v>129</v>
      </c>
      <c r="C30" s="95">
        <v>665</v>
      </c>
      <c r="D30" s="95" t="s">
        <v>42</v>
      </c>
      <c r="E30" s="95">
        <v>42</v>
      </c>
      <c r="F30" s="95">
        <v>274</v>
      </c>
      <c r="G30" s="140">
        <v>5</v>
      </c>
    </row>
    <row r="31" spans="1:7" x14ac:dyDescent="0.25">
      <c r="A31" s="119" t="s">
        <v>64</v>
      </c>
      <c r="B31" s="95">
        <v>130</v>
      </c>
      <c r="C31" s="95">
        <v>200</v>
      </c>
      <c r="D31" s="95" t="s">
        <v>42</v>
      </c>
      <c r="E31" s="95">
        <v>42</v>
      </c>
      <c r="F31" s="95">
        <v>274</v>
      </c>
      <c r="G31" s="140">
        <v>5</v>
      </c>
    </row>
    <row r="32" spans="1:7" x14ac:dyDescent="0.25">
      <c r="A32" s="119" t="s">
        <v>65</v>
      </c>
      <c r="B32" s="95">
        <v>131</v>
      </c>
      <c r="C32" s="95">
        <v>500</v>
      </c>
      <c r="D32" s="95" t="s">
        <v>42</v>
      </c>
      <c r="E32" s="95">
        <v>42</v>
      </c>
      <c r="F32" s="95">
        <v>274</v>
      </c>
      <c r="G32" s="140">
        <v>10</v>
      </c>
    </row>
    <row r="33" spans="1:7" x14ac:dyDescent="0.25">
      <c r="A33" s="119" t="s">
        <v>66</v>
      </c>
      <c r="B33" s="95">
        <v>132</v>
      </c>
      <c r="C33" s="95">
        <v>445</v>
      </c>
      <c r="D33" s="95" t="s">
        <v>42</v>
      </c>
      <c r="E33" s="95">
        <v>42</v>
      </c>
      <c r="F33" s="95">
        <v>274</v>
      </c>
      <c r="G33" s="140">
        <v>10</v>
      </c>
    </row>
    <row r="34" spans="1:7" x14ac:dyDescent="0.25">
      <c r="A34" s="119" t="s">
        <v>61</v>
      </c>
      <c r="B34" s="95">
        <v>133</v>
      </c>
      <c r="C34" s="95">
        <v>445</v>
      </c>
      <c r="D34" s="95" t="s">
        <v>42</v>
      </c>
      <c r="E34" s="95">
        <v>34</v>
      </c>
      <c r="F34" s="95">
        <v>268</v>
      </c>
      <c r="G34" s="140">
        <v>10</v>
      </c>
    </row>
    <row r="35" spans="1:7" x14ac:dyDescent="0.25">
      <c r="A35" s="119" t="s">
        <v>67</v>
      </c>
      <c r="B35" s="95">
        <v>134</v>
      </c>
      <c r="C35" s="95">
        <v>445</v>
      </c>
      <c r="D35" s="95" t="s">
        <v>42</v>
      </c>
      <c r="E35" s="95">
        <v>34</v>
      </c>
      <c r="F35" s="95">
        <v>268</v>
      </c>
      <c r="G35" s="140">
        <v>10</v>
      </c>
    </row>
    <row r="36" spans="1:7" x14ac:dyDescent="0.25">
      <c r="A36" s="119" t="s">
        <v>68</v>
      </c>
      <c r="B36" s="95">
        <v>135</v>
      </c>
      <c r="C36" s="95">
        <v>445</v>
      </c>
      <c r="D36" s="95" t="s">
        <v>37</v>
      </c>
      <c r="E36" s="95">
        <v>35</v>
      </c>
      <c r="F36" s="95">
        <v>274</v>
      </c>
      <c r="G36" s="140">
        <v>3</v>
      </c>
    </row>
    <row r="37" spans="1:7" x14ac:dyDescent="0.25">
      <c r="A37" s="119" t="s">
        <v>57</v>
      </c>
      <c r="B37" s="95">
        <v>136</v>
      </c>
      <c r="C37" s="95">
        <v>445</v>
      </c>
      <c r="D37" s="95" t="s">
        <v>37</v>
      </c>
      <c r="E37" s="95">
        <v>35</v>
      </c>
      <c r="F37" s="95">
        <v>274</v>
      </c>
      <c r="G37" s="140">
        <v>7</v>
      </c>
    </row>
    <row r="38" spans="1:7" x14ac:dyDescent="0.25">
      <c r="A38" s="119" t="s">
        <v>58</v>
      </c>
      <c r="B38" s="95">
        <v>137</v>
      </c>
      <c r="C38" s="95">
        <v>500</v>
      </c>
      <c r="D38" s="95" t="s">
        <v>196</v>
      </c>
      <c r="E38" s="95">
        <v>35</v>
      </c>
      <c r="F38" s="95">
        <v>274</v>
      </c>
      <c r="G38" s="140">
        <v>13</v>
      </c>
    </row>
    <row r="39" spans="1:7" x14ac:dyDescent="0.25">
      <c r="A39" s="119" t="s">
        <v>58</v>
      </c>
      <c r="B39" s="95">
        <v>138</v>
      </c>
      <c r="C39" s="95">
        <v>680</v>
      </c>
      <c r="D39" s="95" t="s">
        <v>42</v>
      </c>
      <c r="E39" s="95">
        <v>31</v>
      </c>
      <c r="F39" s="95">
        <v>278</v>
      </c>
      <c r="G39" s="140">
        <v>4</v>
      </c>
    </row>
    <row r="40" spans="1:7" x14ac:dyDescent="0.25">
      <c r="A40" s="119" t="s">
        <v>59</v>
      </c>
      <c r="B40" s="95"/>
      <c r="C40" s="95">
        <v>200</v>
      </c>
      <c r="D40" s="95" t="s">
        <v>197</v>
      </c>
      <c r="E40" s="95">
        <v>35</v>
      </c>
      <c r="F40" s="95">
        <v>274</v>
      </c>
      <c r="G40" s="140">
        <v>14</v>
      </c>
    </row>
    <row r="41" spans="1:7" x14ac:dyDescent="0.25">
      <c r="A41" s="119" t="s">
        <v>60</v>
      </c>
      <c r="B41" s="95">
        <v>140</v>
      </c>
      <c r="C41" s="95">
        <v>740</v>
      </c>
      <c r="D41" s="95" t="s">
        <v>42</v>
      </c>
      <c r="E41" s="95">
        <v>37</v>
      </c>
      <c r="F41" s="95">
        <v>275</v>
      </c>
      <c r="G41" s="140">
        <v>9</v>
      </c>
    </row>
    <row r="42" spans="1:7" x14ac:dyDescent="0.25">
      <c r="A42" s="119" t="s">
        <v>76</v>
      </c>
      <c r="B42" s="95">
        <v>141</v>
      </c>
      <c r="C42" s="95">
        <v>740</v>
      </c>
      <c r="D42" s="95" t="s">
        <v>42</v>
      </c>
      <c r="E42" s="95">
        <v>37</v>
      </c>
      <c r="F42" s="95">
        <v>274</v>
      </c>
      <c r="G42" s="140">
        <v>9</v>
      </c>
    </row>
    <row r="43" spans="1:7" x14ac:dyDescent="0.25">
      <c r="A43" s="119" t="s">
        <v>69</v>
      </c>
      <c r="B43" s="95">
        <v>142</v>
      </c>
      <c r="C43" s="95">
        <v>200</v>
      </c>
      <c r="D43" s="95" t="s">
        <v>42</v>
      </c>
      <c r="E43" s="95">
        <v>41</v>
      </c>
      <c r="F43" s="95">
        <v>263</v>
      </c>
      <c r="G43" s="140">
        <v>10</v>
      </c>
    </row>
    <row r="44" spans="1:7" x14ac:dyDescent="0.25">
      <c r="A44" s="119" t="s">
        <v>70</v>
      </c>
      <c r="B44" s="95">
        <v>143</v>
      </c>
      <c r="C44" s="95">
        <v>945</v>
      </c>
      <c r="D44" s="95" t="s">
        <v>42</v>
      </c>
      <c r="E44" s="95">
        <v>31</v>
      </c>
      <c r="F44" s="95">
        <v>274</v>
      </c>
      <c r="G44" s="140">
        <v>10</v>
      </c>
    </row>
    <row r="45" spans="1:7" x14ac:dyDescent="0.25">
      <c r="A45" s="119" t="s">
        <v>71</v>
      </c>
      <c r="B45" s="95">
        <v>144</v>
      </c>
      <c r="C45" s="95">
        <v>500</v>
      </c>
      <c r="D45" s="95" t="s">
        <v>42</v>
      </c>
      <c r="E45" s="95">
        <v>31</v>
      </c>
      <c r="F45" s="95">
        <v>274</v>
      </c>
      <c r="G45" s="140">
        <v>3</v>
      </c>
    </row>
    <row r="46" spans="1:7" x14ac:dyDescent="0.25">
      <c r="A46" s="119" t="s">
        <v>72</v>
      </c>
      <c r="B46" s="95">
        <v>145</v>
      </c>
      <c r="C46" s="95">
        <v>475</v>
      </c>
      <c r="D46" s="95" t="s">
        <v>42</v>
      </c>
      <c r="E46" s="95">
        <v>31</v>
      </c>
      <c r="F46" s="95">
        <v>270</v>
      </c>
      <c r="G46" s="140">
        <v>4</v>
      </c>
    </row>
    <row r="47" spans="1:7" x14ac:dyDescent="0.25">
      <c r="A47" s="119" t="s">
        <v>73</v>
      </c>
      <c r="B47" s="95">
        <v>146</v>
      </c>
      <c r="C47" s="95">
        <v>680</v>
      </c>
      <c r="D47" s="95" t="s">
        <v>42</v>
      </c>
      <c r="E47" s="95">
        <v>31</v>
      </c>
      <c r="F47" s="95">
        <v>274</v>
      </c>
      <c r="G47" s="140">
        <v>4</v>
      </c>
    </row>
    <row r="48" spans="1:7" x14ac:dyDescent="0.25">
      <c r="A48" s="119" t="s">
        <v>74</v>
      </c>
      <c r="B48" s="95">
        <v>147</v>
      </c>
      <c r="C48" s="95">
        <v>680</v>
      </c>
      <c r="D48" s="95" t="s">
        <v>42</v>
      </c>
      <c r="E48" s="95">
        <v>34</v>
      </c>
      <c r="F48" s="95">
        <v>274</v>
      </c>
      <c r="G48" s="140">
        <v>5</v>
      </c>
    </row>
    <row r="49" spans="1:7" x14ac:dyDescent="0.25">
      <c r="A49" s="119" t="s">
        <v>77</v>
      </c>
      <c r="B49" s="95">
        <v>148</v>
      </c>
      <c r="C49" s="95">
        <v>200</v>
      </c>
      <c r="D49" s="95" t="s">
        <v>42</v>
      </c>
      <c r="E49" s="95">
        <v>35</v>
      </c>
      <c r="F49" s="95">
        <v>274</v>
      </c>
      <c r="G49" s="140">
        <v>5</v>
      </c>
    </row>
    <row r="50" spans="1:7" x14ac:dyDescent="0.25">
      <c r="A50" s="119" t="s">
        <v>78</v>
      </c>
      <c r="B50" s="95">
        <v>149</v>
      </c>
      <c r="C50" s="95">
        <v>475</v>
      </c>
      <c r="D50" s="95" t="s">
        <v>37</v>
      </c>
      <c r="E50" s="95">
        <v>35</v>
      </c>
      <c r="F50" s="95">
        <v>274</v>
      </c>
      <c r="G50" s="140">
        <v>5</v>
      </c>
    </row>
    <row r="51" spans="1:7" x14ac:dyDescent="0.25">
      <c r="A51" s="119" t="s">
        <v>79</v>
      </c>
      <c r="B51" s="95">
        <v>150</v>
      </c>
      <c r="C51" s="95">
        <v>500</v>
      </c>
      <c r="D51" s="95" t="s">
        <v>196</v>
      </c>
      <c r="E51" s="95">
        <v>36</v>
      </c>
      <c r="F51" s="95">
        <v>274</v>
      </c>
      <c r="G51" s="140">
        <v>7</v>
      </c>
    </row>
    <row r="52" spans="1:7" x14ac:dyDescent="0.25">
      <c r="A52" s="119" t="s">
        <v>80</v>
      </c>
      <c r="B52" s="95">
        <v>151</v>
      </c>
      <c r="C52" s="95">
        <v>475</v>
      </c>
      <c r="D52" s="95" t="s">
        <v>37</v>
      </c>
      <c r="E52" s="95">
        <v>36</v>
      </c>
      <c r="F52" s="95">
        <v>274</v>
      </c>
      <c r="G52" s="140">
        <v>7</v>
      </c>
    </row>
    <row r="53" spans="1:7" x14ac:dyDescent="0.25">
      <c r="A53" s="119" t="s">
        <v>81</v>
      </c>
      <c r="B53" s="95">
        <v>152</v>
      </c>
      <c r="C53" s="95">
        <v>475</v>
      </c>
      <c r="D53" s="95" t="s">
        <v>37</v>
      </c>
      <c r="E53" s="95">
        <v>36</v>
      </c>
      <c r="F53" s="95">
        <v>274</v>
      </c>
      <c r="G53" s="140">
        <v>7</v>
      </c>
    </row>
    <row r="54" spans="1:7" x14ac:dyDescent="0.25">
      <c r="A54" s="119" t="s">
        <v>82</v>
      </c>
      <c r="B54" s="95">
        <v>153</v>
      </c>
      <c r="C54" s="95">
        <v>870</v>
      </c>
      <c r="D54" s="95" t="s">
        <v>197</v>
      </c>
      <c r="E54" s="95">
        <v>37</v>
      </c>
      <c r="F54" s="95">
        <v>274</v>
      </c>
      <c r="G54" s="140">
        <v>7</v>
      </c>
    </row>
    <row r="55" spans="1:7" x14ac:dyDescent="0.25">
      <c r="A55" s="119" t="s">
        <v>75</v>
      </c>
      <c r="B55" s="95">
        <v>154</v>
      </c>
      <c r="C55" s="95">
        <v>870</v>
      </c>
      <c r="D55" s="95" t="s">
        <v>42</v>
      </c>
      <c r="E55" s="95">
        <v>37</v>
      </c>
      <c r="F55" s="95">
        <v>270</v>
      </c>
      <c r="G55" s="140">
        <v>7</v>
      </c>
    </row>
    <row r="56" spans="1:7" x14ac:dyDescent="0.25">
      <c r="A56" s="119" t="s">
        <v>198</v>
      </c>
      <c r="B56" s="95"/>
      <c r="C56" s="95">
        <v>200</v>
      </c>
      <c r="D56" s="95" t="s">
        <v>42</v>
      </c>
      <c r="E56" s="95">
        <v>37</v>
      </c>
      <c r="F56" s="95">
        <v>274</v>
      </c>
      <c r="G56" s="140">
        <v>7</v>
      </c>
    </row>
    <row r="57" spans="1:7" x14ac:dyDescent="0.25">
      <c r="A57" s="119" t="s">
        <v>199</v>
      </c>
      <c r="B57" s="95">
        <v>156</v>
      </c>
      <c r="C57" s="95">
        <v>500</v>
      </c>
      <c r="D57" s="95" t="s">
        <v>32</v>
      </c>
      <c r="E57" s="95">
        <v>37</v>
      </c>
      <c r="F57" s="95">
        <v>274</v>
      </c>
      <c r="G57" s="140">
        <v>8</v>
      </c>
    </row>
    <row r="58" spans="1:7" x14ac:dyDescent="0.25">
      <c r="A58" s="119" t="s">
        <v>200</v>
      </c>
      <c r="B58" s="95">
        <v>157</v>
      </c>
      <c r="C58" s="95">
        <v>925</v>
      </c>
      <c r="D58" s="95" t="s">
        <v>42</v>
      </c>
      <c r="E58" s="95">
        <v>37</v>
      </c>
      <c r="F58" s="95">
        <v>274</v>
      </c>
      <c r="G58" s="140">
        <v>8</v>
      </c>
    </row>
    <row r="59" spans="1:7" x14ac:dyDescent="0.25">
      <c r="A59" s="119" t="s">
        <v>201</v>
      </c>
      <c r="B59" s="95">
        <v>158</v>
      </c>
      <c r="C59" s="95">
        <v>925</v>
      </c>
      <c r="D59" s="95" t="s">
        <v>42</v>
      </c>
      <c r="E59" s="95">
        <v>38</v>
      </c>
      <c r="F59" s="95">
        <v>274</v>
      </c>
      <c r="G59" s="140">
        <v>9</v>
      </c>
    </row>
    <row r="60" spans="1:7" x14ac:dyDescent="0.25">
      <c r="A60" s="119" t="s">
        <v>202</v>
      </c>
      <c r="B60" s="95">
        <v>159</v>
      </c>
      <c r="C60" s="95">
        <v>680</v>
      </c>
      <c r="D60" s="95" t="s">
        <v>42</v>
      </c>
      <c r="E60" s="95">
        <v>38</v>
      </c>
      <c r="F60" s="95">
        <v>274</v>
      </c>
      <c r="G60" s="140">
        <v>9</v>
      </c>
    </row>
    <row r="61" spans="1:7" x14ac:dyDescent="0.25">
      <c r="A61" s="119" t="s">
        <v>203</v>
      </c>
      <c r="B61" s="95">
        <v>160</v>
      </c>
      <c r="C61" s="95">
        <v>680</v>
      </c>
      <c r="D61" s="95" t="s">
        <v>42</v>
      </c>
      <c r="E61" s="95">
        <v>38</v>
      </c>
      <c r="F61" s="95">
        <v>274</v>
      </c>
      <c r="G61" s="140">
        <v>9</v>
      </c>
    </row>
    <row r="62" spans="1:7" x14ac:dyDescent="0.25">
      <c r="A62" s="119" t="s">
        <v>204</v>
      </c>
      <c r="B62" s="95">
        <v>161</v>
      </c>
      <c r="C62" s="95">
        <v>680</v>
      </c>
      <c r="D62" s="95" t="s">
        <v>42</v>
      </c>
      <c r="E62" s="95">
        <v>38</v>
      </c>
      <c r="F62" s="95">
        <v>274</v>
      </c>
      <c r="G62" s="140">
        <v>9</v>
      </c>
    </row>
    <row r="63" spans="1:7" x14ac:dyDescent="0.25">
      <c r="A63" s="119" t="s">
        <v>205</v>
      </c>
      <c r="B63" s="95">
        <v>162</v>
      </c>
      <c r="C63" s="95">
        <v>200</v>
      </c>
      <c r="D63" s="95" t="s">
        <v>42</v>
      </c>
      <c r="E63" s="95">
        <v>39</v>
      </c>
      <c r="F63" s="95">
        <v>274</v>
      </c>
      <c r="G63" s="140">
        <v>9</v>
      </c>
    </row>
    <row r="64" spans="1:7" x14ac:dyDescent="0.25">
      <c r="A64" s="119" t="s">
        <v>206</v>
      </c>
      <c r="B64" s="95">
        <v>163</v>
      </c>
      <c r="C64" s="95">
        <v>1200</v>
      </c>
      <c r="D64" s="95" t="s">
        <v>42</v>
      </c>
      <c r="E64" s="95">
        <v>39</v>
      </c>
      <c r="F64" s="95">
        <v>274</v>
      </c>
      <c r="G64" s="140">
        <v>10</v>
      </c>
    </row>
    <row r="65" spans="1:7" x14ac:dyDescent="0.25">
      <c r="A65" s="119" t="s">
        <v>207</v>
      </c>
      <c r="B65" s="95">
        <v>164</v>
      </c>
      <c r="C65" s="95">
        <v>1080</v>
      </c>
      <c r="D65" s="95" t="s">
        <v>42</v>
      </c>
      <c r="E65" s="95">
        <v>39</v>
      </c>
      <c r="F65" s="95">
        <v>274</v>
      </c>
      <c r="G65" s="140">
        <v>12</v>
      </c>
    </row>
    <row r="66" spans="1:7" x14ac:dyDescent="0.25">
      <c r="A66" s="119" t="s">
        <v>208</v>
      </c>
      <c r="B66" s="95">
        <v>165</v>
      </c>
      <c r="C66" s="95">
        <v>1080</v>
      </c>
      <c r="D66" s="95" t="s">
        <v>197</v>
      </c>
      <c r="E66" s="95">
        <v>40</v>
      </c>
      <c r="F66" s="95">
        <v>274</v>
      </c>
      <c r="G66" s="140">
        <v>12</v>
      </c>
    </row>
    <row r="67" spans="1:7" x14ac:dyDescent="0.25">
      <c r="A67" s="119" t="s">
        <v>209</v>
      </c>
      <c r="B67" s="95">
        <v>166</v>
      </c>
      <c r="C67" s="95">
        <v>1080</v>
      </c>
      <c r="D67" s="95" t="s">
        <v>197</v>
      </c>
      <c r="E67" s="95">
        <v>40</v>
      </c>
      <c r="F67" s="95">
        <v>274</v>
      </c>
      <c r="G67" s="140">
        <v>14</v>
      </c>
    </row>
    <row r="68" spans="1:7" x14ac:dyDescent="0.25">
      <c r="A68" s="119" t="s">
        <v>210</v>
      </c>
      <c r="B68" s="95">
        <v>167</v>
      </c>
      <c r="C68" s="95">
        <v>1200</v>
      </c>
      <c r="D68" s="95" t="s">
        <v>42</v>
      </c>
      <c r="E68" s="95">
        <v>41</v>
      </c>
      <c r="F68" s="95">
        <v>274</v>
      </c>
      <c r="G68" s="140">
        <v>14</v>
      </c>
    </row>
    <row r="69" spans="1:7" x14ac:dyDescent="0.25">
      <c r="A69" s="119" t="s">
        <v>211</v>
      </c>
      <c r="B69" s="95">
        <v>168</v>
      </c>
      <c r="C69" s="95">
        <v>1200</v>
      </c>
      <c r="D69" s="95" t="s">
        <v>42</v>
      </c>
      <c r="E69" s="95">
        <v>42</v>
      </c>
      <c r="F69" s="95">
        <v>274</v>
      </c>
      <c r="G69" s="140">
        <v>4</v>
      </c>
    </row>
    <row r="70" spans="1:7" x14ac:dyDescent="0.25">
      <c r="A70" s="119" t="s">
        <v>212</v>
      </c>
      <c r="B70" s="95"/>
      <c r="C70" s="95">
        <v>1080</v>
      </c>
      <c r="D70" s="95" t="s">
        <v>197</v>
      </c>
      <c r="E70" s="95">
        <v>42</v>
      </c>
      <c r="F70" s="95">
        <v>274</v>
      </c>
      <c r="G70" s="140">
        <v>7</v>
      </c>
    </row>
    <row r="71" spans="1:7" x14ac:dyDescent="0.25">
      <c r="A71" s="119" t="s">
        <v>213</v>
      </c>
      <c r="B71" s="95">
        <v>170</v>
      </c>
      <c r="C71" s="95">
        <v>925</v>
      </c>
      <c r="D71" s="95" t="s">
        <v>42</v>
      </c>
      <c r="E71" s="95">
        <v>42</v>
      </c>
      <c r="F71" s="95">
        <v>274</v>
      </c>
      <c r="G71" s="140">
        <v>7</v>
      </c>
    </row>
    <row r="72" spans="1:7" x14ac:dyDescent="0.25">
      <c r="A72" s="119" t="s">
        <v>214</v>
      </c>
      <c r="B72" s="95">
        <v>171</v>
      </c>
      <c r="C72" s="95">
        <v>925</v>
      </c>
      <c r="D72" s="95" t="s">
        <v>197</v>
      </c>
      <c r="E72" s="95">
        <v>35</v>
      </c>
      <c r="F72" s="95">
        <v>275</v>
      </c>
      <c r="G72" s="140">
        <v>7</v>
      </c>
    </row>
    <row r="73" spans="1:7" x14ac:dyDescent="0.25">
      <c r="A73" s="119" t="s">
        <v>215</v>
      </c>
      <c r="B73" s="95">
        <v>172</v>
      </c>
      <c r="C73" s="95">
        <v>925</v>
      </c>
      <c r="D73" s="95" t="s">
        <v>37</v>
      </c>
      <c r="E73" s="95">
        <v>36</v>
      </c>
      <c r="F73" s="95">
        <v>275</v>
      </c>
      <c r="G73" s="140">
        <v>9</v>
      </c>
    </row>
    <row r="74" spans="1:7" x14ac:dyDescent="0.25">
      <c r="A74" s="119" t="s">
        <v>216</v>
      </c>
      <c r="B74" s="95">
        <v>173</v>
      </c>
      <c r="C74" s="95">
        <v>680</v>
      </c>
      <c r="D74" s="95" t="s">
        <v>42</v>
      </c>
      <c r="E74" s="95">
        <v>34</v>
      </c>
      <c r="F74" s="95">
        <v>275</v>
      </c>
      <c r="G74" s="140">
        <v>9</v>
      </c>
    </row>
    <row r="75" spans="1:7" x14ac:dyDescent="0.25">
      <c r="A75" s="119" t="s">
        <v>217</v>
      </c>
      <c r="B75" s="95">
        <v>174</v>
      </c>
      <c r="C75" s="95">
        <v>680</v>
      </c>
      <c r="D75" s="95" t="s">
        <v>196</v>
      </c>
      <c r="E75" s="95">
        <v>40</v>
      </c>
      <c r="F75" s="95">
        <v>274</v>
      </c>
      <c r="G75" s="140">
        <v>10</v>
      </c>
    </row>
    <row r="76" spans="1:7" x14ac:dyDescent="0.25">
      <c r="A76" s="119" t="s">
        <v>218</v>
      </c>
      <c r="B76" s="95">
        <v>175</v>
      </c>
      <c r="C76" s="95">
        <v>680</v>
      </c>
      <c r="D76" s="95" t="s">
        <v>196</v>
      </c>
      <c r="E76" s="95">
        <v>40</v>
      </c>
      <c r="F76" s="95">
        <v>274</v>
      </c>
      <c r="G76" s="140">
        <v>11</v>
      </c>
    </row>
    <row r="77" spans="1:7" x14ac:dyDescent="0.25">
      <c r="A77" s="119" t="s">
        <v>219</v>
      </c>
      <c r="B77" s="95">
        <v>176</v>
      </c>
      <c r="C77" s="95">
        <v>680</v>
      </c>
      <c r="D77" s="95" t="s">
        <v>24</v>
      </c>
      <c r="E77" s="95">
        <v>40</v>
      </c>
      <c r="F77" s="95">
        <v>274</v>
      </c>
      <c r="G77" s="140">
        <v>6</v>
      </c>
    </row>
    <row r="78" spans="1:7" x14ac:dyDescent="0.25">
      <c r="A78" s="119" t="s">
        <v>220</v>
      </c>
      <c r="B78" s="95">
        <v>177</v>
      </c>
      <c r="C78" s="95">
        <v>680</v>
      </c>
      <c r="D78" s="95" t="s">
        <v>24</v>
      </c>
      <c r="E78" s="95">
        <v>42</v>
      </c>
      <c r="F78" s="95">
        <v>274</v>
      </c>
      <c r="G78" s="140">
        <v>9</v>
      </c>
    </row>
    <row r="79" spans="1:7" x14ac:dyDescent="0.25">
      <c r="A79" s="119" t="s">
        <v>221</v>
      </c>
      <c r="B79" s="95">
        <v>178</v>
      </c>
      <c r="C79" s="95">
        <v>680</v>
      </c>
      <c r="D79" s="95" t="s">
        <v>24</v>
      </c>
      <c r="E79" s="95">
        <v>42</v>
      </c>
      <c r="F79" s="95">
        <v>274</v>
      </c>
      <c r="G79" s="140">
        <v>11</v>
      </c>
    </row>
    <row r="80" spans="1:7" x14ac:dyDescent="0.25">
      <c r="A80" s="119" t="s">
        <v>222</v>
      </c>
      <c r="B80" s="95">
        <v>179</v>
      </c>
      <c r="C80" s="95">
        <v>1200</v>
      </c>
      <c r="D80" s="95" t="s">
        <v>42</v>
      </c>
      <c r="E80" s="95">
        <v>42</v>
      </c>
      <c r="F80" s="95">
        <v>268</v>
      </c>
      <c r="G80" s="140">
        <v>14</v>
      </c>
    </row>
    <row r="81" spans="1:7" ht="14.4" thickBot="1" x14ac:dyDescent="0.3">
      <c r="A81" s="120" t="s">
        <v>223</v>
      </c>
      <c r="B81" s="141">
        <v>180</v>
      </c>
      <c r="C81" s="141">
        <v>1200</v>
      </c>
      <c r="D81" s="141" t="s">
        <v>42</v>
      </c>
      <c r="E81" s="141">
        <v>32</v>
      </c>
      <c r="F81" s="141">
        <v>271</v>
      </c>
      <c r="G81" s="142">
        <v>4</v>
      </c>
    </row>
  </sheetData>
  <mergeCells count="3">
    <mergeCell ref="L5:N5"/>
    <mergeCell ref="L6:N6"/>
    <mergeCell ref="L7:N7"/>
  </mergeCells>
  <conditionalFormatting sqref="L5 A1:C81 E1:G81">
    <cfRule type="containsText" dxfId="1" priority="1" operator="containsText" text="sale">
      <formula>NOT(ISERROR(SEARCH("sale",A1)))</formula>
    </cfRule>
    <cfRule type="containsText" dxfId="0" priority="2" operator="containsText" text="FInanc">
      <formula>NOT(ISERROR(SEARCH("FInanc",A1)))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A830-F8FC-443B-8487-84320EB161EB}">
  <dimension ref="B2:X16"/>
  <sheetViews>
    <sheetView tabSelected="1" workbookViewId="0">
      <selection activeCell="D7" sqref="D7"/>
    </sheetView>
  </sheetViews>
  <sheetFormatPr defaultColWidth="8.77734375" defaultRowHeight="15.6" x14ac:dyDescent="0.3"/>
  <cols>
    <col min="1" max="1" width="8.77734375" style="145"/>
    <col min="2" max="2" width="23.109375" style="145" customWidth="1"/>
    <col min="3" max="3" width="11.33203125" style="145" customWidth="1"/>
    <col min="4" max="4" width="16.33203125" style="145" customWidth="1"/>
    <col min="5" max="23" width="8.77734375" style="145"/>
    <col min="24" max="24" width="20.33203125" style="145" customWidth="1"/>
    <col min="25" max="16384" width="8.77734375" style="145"/>
  </cols>
  <sheetData>
    <row r="2" spans="2:24" x14ac:dyDescent="0.3">
      <c r="B2" s="147" t="s">
        <v>123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</row>
    <row r="3" spans="2:24" x14ac:dyDescent="0.3">
      <c r="B3" s="148" t="s">
        <v>122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</row>
    <row r="4" spans="2:24" x14ac:dyDescent="0.3">
      <c r="B4" s="148" t="s">
        <v>124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</row>
    <row r="5" spans="2:24" x14ac:dyDescent="0.3">
      <c r="D5" s="146"/>
    </row>
    <row r="6" spans="2:24" x14ac:dyDescent="0.3">
      <c r="B6" s="151" t="s">
        <v>119</v>
      </c>
      <c r="C6" s="151" t="s">
        <v>42</v>
      </c>
      <c r="D6" s="151" t="s">
        <v>253</v>
      </c>
    </row>
    <row r="7" spans="2:24" x14ac:dyDescent="0.3">
      <c r="B7" s="149" t="s">
        <v>112</v>
      </c>
      <c r="C7" s="150">
        <v>22518</v>
      </c>
      <c r="D7" s="152"/>
    </row>
    <row r="8" spans="2:24" x14ac:dyDescent="0.3">
      <c r="B8" s="149" t="s">
        <v>113</v>
      </c>
      <c r="C8" s="150">
        <v>18576</v>
      </c>
      <c r="D8" s="152"/>
    </row>
    <row r="9" spans="2:24" x14ac:dyDescent="0.3">
      <c r="B9" s="149" t="s">
        <v>103</v>
      </c>
      <c r="C9" s="150">
        <v>17990</v>
      </c>
      <c r="D9" s="152"/>
    </row>
    <row r="10" spans="2:24" x14ac:dyDescent="0.3">
      <c r="B10" s="149" t="s">
        <v>114</v>
      </c>
      <c r="C10" s="150">
        <v>20512</v>
      </c>
      <c r="D10" s="152"/>
    </row>
    <row r="11" spans="2:24" x14ac:dyDescent="0.3">
      <c r="B11" s="149" t="s">
        <v>115</v>
      </c>
      <c r="C11" s="150">
        <v>21128</v>
      </c>
      <c r="D11" s="152"/>
    </row>
    <row r="12" spans="2:24" x14ac:dyDescent="0.3">
      <c r="B12" s="149" t="s">
        <v>116</v>
      </c>
      <c r="C12" s="150">
        <v>14374</v>
      </c>
      <c r="D12" s="152"/>
    </row>
    <row r="13" spans="2:24" x14ac:dyDescent="0.3">
      <c r="B13" s="149" t="s">
        <v>117</v>
      </c>
      <c r="C13" s="150">
        <v>25044</v>
      </c>
      <c r="D13" s="152"/>
    </row>
    <row r="14" spans="2:24" x14ac:dyDescent="0.3">
      <c r="B14" s="149" t="s">
        <v>118</v>
      </c>
      <c r="C14" s="150">
        <v>22912</v>
      </c>
      <c r="D14" s="152"/>
    </row>
    <row r="15" spans="2:24" x14ac:dyDescent="0.3">
      <c r="B15" s="149" t="s">
        <v>120</v>
      </c>
      <c r="C15" s="150">
        <v>17970</v>
      </c>
      <c r="D15" s="152"/>
    </row>
    <row r="16" spans="2:24" x14ac:dyDescent="0.3">
      <c r="B16" s="149" t="s">
        <v>121</v>
      </c>
      <c r="C16" s="150">
        <v>19384</v>
      </c>
      <c r="D16" s="152"/>
    </row>
  </sheetData>
  <mergeCells count="2">
    <mergeCell ref="B3:X3"/>
    <mergeCell ref="B4:X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87D2-C9A4-4164-83D3-B27F1804F8CC}">
  <dimension ref="B3:D21"/>
  <sheetViews>
    <sheetView zoomScale="140" zoomScaleNormal="140" workbookViewId="0">
      <selection activeCell="D20" sqref="D20"/>
    </sheetView>
  </sheetViews>
  <sheetFormatPr defaultColWidth="8.77734375" defaultRowHeight="14.4" x14ac:dyDescent="0.3"/>
  <cols>
    <col min="1" max="1" width="8.77734375" style="4"/>
    <col min="2" max="2" width="19" style="4" customWidth="1"/>
    <col min="3" max="16384" width="8.77734375" style="4"/>
  </cols>
  <sheetData>
    <row r="3" spans="2:4" x14ac:dyDescent="0.3">
      <c r="C3" s="4" t="s">
        <v>125</v>
      </c>
      <c r="D3" s="4" t="s">
        <v>132</v>
      </c>
    </row>
    <row r="4" spans="2:4" x14ac:dyDescent="0.3">
      <c r="B4" s="5" t="s">
        <v>103</v>
      </c>
      <c r="C4" s="4">
        <v>97</v>
      </c>
    </row>
    <row r="5" spans="2:4" x14ac:dyDescent="0.3">
      <c r="B5" s="5" t="s">
        <v>104</v>
      </c>
      <c r="C5" s="4">
        <v>72</v>
      </c>
    </row>
    <row r="6" spans="2:4" x14ac:dyDescent="0.3">
      <c r="B6" s="5" t="s">
        <v>105</v>
      </c>
      <c r="C6" s="4">
        <v>63</v>
      </c>
    </row>
    <row r="7" spans="2:4" x14ac:dyDescent="0.3">
      <c r="B7" s="5" t="s">
        <v>106</v>
      </c>
      <c r="C7" s="4">
        <v>55</v>
      </c>
    </row>
    <row r="8" spans="2:4" x14ac:dyDescent="0.3">
      <c r="B8" s="5" t="s">
        <v>107</v>
      </c>
      <c r="C8" s="4">
        <v>89</v>
      </c>
    </row>
    <row r="9" spans="2:4" x14ac:dyDescent="0.3">
      <c r="B9" s="5" t="s">
        <v>108</v>
      </c>
      <c r="C9" s="4">
        <v>54</v>
      </c>
    </row>
    <row r="10" spans="2:4" x14ac:dyDescent="0.3">
      <c r="B10" s="5" t="s">
        <v>109</v>
      </c>
      <c r="C10" s="4">
        <v>92</v>
      </c>
    </row>
    <row r="11" spans="2:4" x14ac:dyDescent="0.3">
      <c r="B11" s="5" t="s">
        <v>111</v>
      </c>
      <c r="C11" s="4">
        <v>91</v>
      </c>
    </row>
    <row r="12" spans="2:4" x14ac:dyDescent="0.3">
      <c r="B12" s="5" t="s">
        <v>106</v>
      </c>
      <c r="C12" s="4">
        <v>52</v>
      </c>
    </row>
    <row r="13" spans="2:4" x14ac:dyDescent="0.3">
      <c r="B13" s="5" t="s">
        <v>110</v>
      </c>
      <c r="C13" s="4">
        <v>65</v>
      </c>
    </row>
    <row r="14" spans="2:4" x14ac:dyDescent="0.3">
      <c r="B14" s="5"/>
    </row>
    <row r="16" spans="2:4" x14ac:dyDescent="0.3">
      <c r="B16" s="4" t="s">
        <v>126</v>
      </c>
      <c r="C16" s="4" t="s">
        <v>12</v>
      </c>
    </row>
    <row r="17" spans="2:3" x14ac:dyDescent="0.3">
      <c r="B17" s="4" t="s">
        <v>127</v>
      </c>
      <c r="C17" s="4" t="s">
        <v>10</v>
      </c>
    </row>
    <row r="18" spans="2:3" x14ac:dyDescent="0.3">
      <c r="B18" s="4" t="s">
        <v>128</v>
      </c>
      <c r="C18" s="4" t="s">
        <v>9</v>
      </c>
    </row>
    <row r="19" spans="2:3" x14ac:dyDescent="0.3">
      <c r="B19" s="4" t="s">
        <v>129</v>
      </c>
      <c r="C19" s="4" t="s">
        <v>8</v>
      </c>
    </row>
    <row r="20" spans="2:3" x14ac:dyDescent="0.3">
      <c r="B20" s="4" t="s">
        <v>130</v>
      </c>
      <c r="C20" s="4" t="s">
        <v>7</v>
      </c>
    </row>
    <row r="21" spans="2:3" x14ac:dyDescent="0.3">
      <c r="B21" s="4" t="s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02F0-5ADC-4F49-AF33-D09386D29221}">
  <dimension ref="B3:E22"/>
  <sheetViews>
    <sheetView zoomScale="130" zoomScaleNormal="130" workbookViewId="0">
      <selection activeCell="H21" sqref="H21"/>
    </sheetView>
  </sheetViews>
  <sheetFormatPr defaultColWidth="8.77734375" defaultRowHeight="14.4" x14ac:dyDescent="0.3"/>
  <cols>
    <col min="2" max="2" width="16" customWidth="1"/>
    <col min="3" max="3" width="10.6640625" bestFit="1" customWidth="1"/>
    <col min="4" max="4" width="13.77734375" bestFit="1" customWidth="1"/>
  </cols>
  <sheetData>
    <row r="3" spans="2:5" x14ac:dyDescent="0.3">
      <c r="B3" s="3" t="s">
        <v>102</v>
      </c>
      <c r="C3" s="3" t="s">
        <v>42</v>
      </c>
      <c r="D3" s="3" t="s">
        <v>148</v>
      </c>
      <c r="E3" s="3" t="s">
        <v>149</v>
      </c>
    </row>
    <row r="4" spans="2:5" x14ac:dyDescent="0.3">
      <c r="B4" t="s">
        <v>133</v>
      </c>
      <c r="C4" s="1">
        <v>16753</v>
      </c>
    </row>
    <row r="5" spans="2:5" x14ac:dyDescent="0.3">
      <c r="B5" t="s">
        <v>134</v>
      </c>
      <c r="C5" s="1">
        <v>14808</v>
      </c>
    </row>
    <row r="6" spans="2:5" x14ac:dyDescent="0.3">
      <c r="B6" t="s">
        <v>135</v>
      </c>
      <c r="C6" s="1">
        <v>10644</v>
      </c>
    </row>
    <row r="7" spans="2:5" x14ac:dyDescent="0.3">
      <c r="B7" t="s">
        <v>118</v>
      </c>
      <c r="C7" s="1">
        <v>1390</v>
      </c>
    </row>
    <row r="8" spans="2:5" x14ac:dyDescent="0.3">
      <c r="B8" t="s">
        <v>136</v>
      </c>
      <c r="C8" s="1">
        <v>4865</v>
      </c>
    </row>
    <row r="9" spans="2:5" x14ac:dyDescent="0.3">
      <c r="B9" t="s">
        <v>137</v>
      </c>
      <c r="C9" s="1">
        <v>12438</v>
      </c>
    </row>
    <row r="10" spans="2:5" x14ac:dyDescent="0.3">
      <c r="B10" t="s">
        <v>138</v>
      </c>
      <c r="C10" s="1">
        <v>9339</v>
      </c>
    </row>
    <row r="11" spans="2:5" x14ac:dyDescent="0.3">
      <c r="B11" t="s">
        <v>139</v>
      </c>
      <c r="C11" s="1">
        <v>18919</v>
      </c>
    </row>
    <row r="12" spans="2:5" x14ac:dyDescent="0.3">
      <c r="B12" t="s">
        <v>121</v>
      </c>
      <c r="C12" s="1">
        <v>9213</v>
      </c>
    </row>
    <row r="13" spans="2:5" x14ac:dyDescent="0.3">
      <c r="B13" t="s">
        <v>26</v>
      </c>
      <c r="C13" s="1">
        <v>7433</v>
      </c>
    </row>
    <row r="16" spans="2:5" x14ac:dyDescent="0.3">
      <c r="B16" t="s">
        <v>147</v>
      </c>
    </row>
    <row r="17" spans="2:3" x14ac:dyDescent="0.3">
      <c r="B17" t="s">
        <v>140</v>
      </c>
      <c r="C17" t="s">
        <v>146</v>
      </c>
    </row>
    <row r="18" spans="2:3" x14ac:dyDescent="0.3">
      <c r="B18" t="s">
        <v>141</v>
      </c>
      <c r="C18" s="2">
        <v>0.05</v>
      </c>
    </row>
    <row r="19" spans="2:3" x14ac:dyDescent="0.3">
      <c r="B19" t="s">
        <v>142</v>
      </c>
      <c r="C19" s="2">
        <v>0.1</v>
      </c>
    </row>
    <row r="20" spans="2:3" x14ac:dyDescent="0.3">
      <c r="B20" t="s">
        <v>143</v>
      </c>
      <c r="C20" s="2">
        <v>0.12</v>
      </c>
    </row>
    <row r="21" spans="2:3" x14ac:dyDescent="0.3">
      <c r="B21" t="s">
        <v>144</v>
      </c>
      <c r="C21" s="2">
        <v>0.15</v>
      </c>
    </row>
    <row r="22" spans="2:3" x14ac:dyDescent="0.3">
      <c r="B22" t="s">
        <v>145</v>
      </c>
      <c r="C22" s="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23</vt:i4>
      </vt:variant>
    </vt:vector>
  </HeadingPairs>
  <TitlesOfParts>
    <vt:vector size="36" baseType="lpstr">
      <vt:lpstr>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Bonus</vt:lpstr>
      <vt:lpstr>Car_Reg</vt:lpstr>
      <vt:lpstr>Category_Labels</vt:lpstr>
      <vt:lpstr>'14'!Extract</vt:lpstr>
      <vt:lpstr>Grade</vt:lpstr>
      <vt:lpstr>Grade_Rewarded</vt:lpstr>
      <vt:lpstr>Marks</vt:lpstr>
      <vt:lpstr>Marks_Obtained</vt:lpstr>
      <vt:lpstr>No_Hours_Parked</vt:lpstr>
      <vt:lpstr>Parking_Charge</vt:lpstr>
      <vt:lpstr>Plays_Sports</vt:lpstr>
      <vt:lpstr>Price_Category</vt:lpstr>
      <vt:lpstr>Product_Code</vt:lpstr>
      <vt:lpstr>'5'!Product_Name</vt:lpstr>
      <vt:lpstr>Product_Name</vt:lpstr>
      <vt:lpstr>Quantity</vt:lpstr>
      <vt:lpstr>'5'!S.P_per_unit</vt:lpstr>
      <vt:lpstr>S.P_per_unit</vt:lpstr>
      <vt:lpstr>Salary</vt:lpstr>
      <vt:lpstr>Salary_Received</vt:lpstr>
      <vt:lpstr>Sales</vt:lpstr>
      <vt:lpstr>Salesman_Name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Bondia</dc:creator>
  <cp:lastModifiedBy>Aryan Jaiswal</cp:lastModifiedBy>
  <dcterms:created xsi:type="dcterms:W3CDTF">2020-01-02T10:20:54Z</dcterms:created>
  <dcterms:modified xsi:type="dcterms:W3CDTF">2025-10-31T15:30:53Z</dcterms:modified>
</cp:coreProperties>
</file>