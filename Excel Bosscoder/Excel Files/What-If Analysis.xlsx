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ha\Desktop\"/>
    </mc:Choice>
  </mc:AlternateContent>
  <xr:revisionPtr revIDLastSave="0" documentId="13_ncr:1_{C7BA1F65-BB91-4DA9-BF4A-D47C74F8896D}" xr6:coauthVersionLast="47" xr6:coauthVersionMax="47" xr10:uidLastSave="{00000000-0000-0000-0000-000000000000}"/>
  <bookViews>
    <workbookView xWindow="-108" yWindow="-108" windowWidth="23256" windowHeight="12456" activeTab="4" xr2:uid="{E5E7B060-1414-45CE-A3D6-7DF16015A4C4}"/>
  </bookViews>
  <sheets>
    <sheet name="Scenario Manager" sheetId="1" r:id="rId1"/>
    <sheet name="Scenario Summary" sheetId="2" r:id="rId2"/>
    <sheet name="Scenario Summary 2" sheetId="3" r:id="rId3"/>
    <sheet name="Goal Seek" sheetId="4" r:id="rId4"/>
    <sheet name="Data Table" sheetId="5" r:id="rId5"/>
  </sheets>
  <definedNames>
    <definedName name="Price">'Scenario Manager'!$C$12</definedName>
    <definedName name="Profit">'Data Table'!$C$12</definedName>
    <definedName name="Quantity">'Scenario Manager'!$C$11</definedName>
    <definedName name="Total_Profit">'Scenario Manager'!$C$19</definedName>
    <definedName name="Total_Salary">'Goal Seek'!$F$13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" i="5" l="1"/>
  <c r="F39" i="5" s="1"/>
  <c r="F28" i="5"/>
  <c r="C6" i="5"/>
  <c r="E21" i="4"/>
  <c r="E22" i="4" s="1"/>
  <c r="E20" i="4"/>
  <c r="E19" i="4"/>
  <c r="E18" i="4"/>
  <c r="F13" i="4"/>
  <c r="C13" i="4"/>
  <c r="C13" i="1"/>
  <c r="C16" i="1" s="1"/>
  <c r="C9" i="5" l="1"/>
  <c r="C8" i="5"/>
  <c r="C15" i="1"/>
  <c r="C17" i="1" s="1"/>
  <c r="C19" i="1" s="1"/>
  <c r="C10" i="5" l="1"/>
  <c r="C12" i="5" s="1"/>
  <c r="F11" i="5" s="1"/>
</calcChain>
</file>

<file path=xl/sharedStrings.xml><?xml version="1.0" encoding="utf-8"?>
<sst xmlns="http://schemas.openxmlformats.org/spreadsheetml/2006/main" count="157" uniqueCount="91">
  <si>
    <t>It's Technique used to find out calculation values based on Different scenarios.</t>
  </si>
  <si>
    <t>1) Scenario Manager</t>
  </si>
  <si>
    <t>2) Goal Seek</t>
  </si>
  <si>
    <t>3) Data Table</t>
  </si>
  <si>
    <t>What If Analysis: [Under Data Column]</t>
  </si>
  <si>
    <t>Quantity:</t>
  </si>
  <si>
    <t>Price:</t>
  </si>
  <si>
    <t>Total Sales:</t>
  </si>
  <si>
    <t>Per Month</t>
  </si>
  <si>
    <t>Transportation Cost:</t>
  </si>
  <si>
    <t>Raw Material:</t>
  </si>
  <si>
    <t>Total Expense:</t>
  </si>
  <si>
    <t>Total Profit:</t>
  </si>
  <si>
    <t>Scenario 1</t>
  </si>
  <si>
    <t>Qty: 780</t>
  </si>
  <si>
    <t>Price: 699</t>
  </si>
  <si>
    <t>Scenario 2</t>
  </si>
  <si>
    <t>Scenario 3</t>
  </si>
  <si>
    <t>Qty: 500</t>
  </si>
  <si>
    <t>Qty: 1000</t>
  </si>
  <si>
    <t>Price: 1299</t>
  </si>
  <si>
    <t>Price: 499</t>
  </si>
  <si>
    <t>What is the Profit in Different Scenario?</t>
  </si>
  <si>
    <t>Scenario 4</t>
  </si>
  <si>
    <t>Qty: 879</t>
  </si>
  <si>
    <t>Price: 999</t>
  </si>
  <si>
    <t>Quantity</t>
  </si>
  <si>
    <t>Price</t>
  </si>
  <si>
    <t>Total_Profit</t>
  </si>
  <si>
    <t>Created by Aryan Jaiswal on 26-11-2025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</si>
  <si>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</si>
  <si>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</si>
  <si>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</si>
  <si>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</si>
  <si>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</si>
  <si>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</si>
  <si>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</si>
  <si>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Created by Aryan Jaiswal on 26-11-2025
Modified by Aryan Jaiswal on 26-11-2025</t>
  </si>
  <si>
    <t>Step 1: Rename the Cell Name (e.g., C11: Quantity; C12: Price; C19: Total_Profit</t>
  </si>
  <si>
    <t>Step 2: Under Data Section -&gt; What-if Analysis -&gt; Scenario Manager</t>
  </si>
  <si>
    <t>Step 3: Add Different Scenario: Name the Scenario</t>
  </si>
  <si>
    <t xml:space="preserve">Step 4: Select the Quantity and Price Cell i.e. C11 &amp; C12 under Changing_Cell option </t>
  </si>
  <si>
    <t>Step 5: When all the Scenario are Added, Click on the Summary Option.</t>
  </si>
  <si>
    <t>Shivani Monthly Salary Structure</t>
  </si>
  <si>
    <t>Anshu HR Manager</t>
  </si>
  <si>
    <t>Basic</t>
  </si>
  <si>
    <t>HRA</t>
  </si>
  <si>
    <t>TA</t>
  </si>
  <si>
    <t>Health Insurance</t>
  </si>
  <si>
    <t>EPF</t>
  </si>
  <si>
    <t>Total Salary</t>
  </si>
  <si>
    <t>Shivani Demands Salary to be Increased to:</t>
  </si>
  <si>
    <t>Decides to Manage Salary by changing the TA Component</t>
  </si>
  <si>
    <t>Step 1: Under Data Section -&gt; What-if Analysis -&gt; Goal Seek.</t>
  </si>
  <si>
    <t>Intitial Salary</t>
  </si>
  <si>
    <t>Step 3: Under To_Value Cell type the Final Goal i.e., 46000</t>
  </si>
  <si>
    <t xml:space="preserve">Diffrence </t>
  </si>
  <si>
    <t>Final Salary</t>
  </si>
  <si>
    <t>Quarter 1</t>
  </si>
  <si>
    <t>Quarter 2</t>
  </si>
  <si>
    <t>Quarter 3</t>
  </si>
  <si>
    <t>Quarter 4</t>
  </si>
  <si>
    <t>Sales</t>
  </si>
  <si>
    <t>Profit Amount</t>
  </si>
  <si>
    <t>Profit %</t>
  </si>
  <si>
    <t>Total Profit</t>
  </si>
  <si>
    <t>Target Profit</t>
  </si>
  <si>
    <t>What should be the Profit in Quarter 4 to meet the Target Profit?</t>
  </si>
  <si>
    <t>Profit (by Q3)</t>
  </si>
  <si>
    <r>
      <t xml:space="preserve">Adding the Cells </t>
    </r>
    <r>
      <rPr>
        <sz val="12"/>
        <color rgb="FFFF0000"/>
        <rFont val="Times New Roman"/>
        <family val="1"/>
      </rPr>
      <t>=SUM(E37:E40)</t>
    </r>
    <r>
      <rPr>
        <sz val="12"/>
        <color theme="1"/>
        <rFont val="Times New Roman"/>
        <family val="1"/>
      </rPr>
      <t xml:space="preserve"> [Note Quarter 4 Sales value are not yet Declared] -&gt; </t>
    </r>
    <r>
      <rPr>
        <b/>
        <sz val="12"/>
        <color rgb="FFFF0000"/>
        <rFont val="Times New Roman"/>
        <family val="1"/>
      </rPr>
      <t>Sum = 181515</t>
    </r>
  </si>
  <si>
    <t>Step 3: Under To_Value Cell type the Target Profit i.e., 250000</t>
  </si>
  <si>
    <t>Step 4: Under By_Changing Cell select the Quarter 4 Sales Column i.e., C21</t>
  </si>
  <si>
    <t>Step2: Under Set Cell: Select Profit (by Q3) Cell i.e., E22</t>
  </si>
  <si>
    <t>Step2: Under Set Cell: Select the Total Salary Cell i.e., F13</t>
  </si>
  <si>
    <t>Step 4: Under By_Changing Cell select the TA Value Cell i.e., F9</t>
  </si>
  <si>
    <t>Data Table</t>
  </si>
  <si>
    <t>Profit:</t>
  </si>
  <si>
    <t>Step 3: Under Data Column -&gt; What-if Analysis -&gt; Data Table</t>
  </si>
  <si>
    <t>Step 4: Under the Row-input Cell -&gt; Select the Price Column i.e., C5</t>
  </si>
  <si>
    <t>Step 5: Under the Column-input Cell -&gt; Select the Quantity Column i.e., C4</t>
  </si>
  <si>
    <t>Step 2: Select the Whole Table [=F11:M17] where you want to Populate the Data.</t>
  </si>
  <si>
    <t>Step 1: Populate the Cell F11 with the Profit Value in Cell C12 -&gt; Use =C12</t>
  </si>
  <si>
    <t>Say we have to Find Profit Greater than 10,00,000 from the Table &amp; Highlight it?</t>
  </si>
  <si>
    <r>
      <t xml:space="preserve">Step 1: Select the Whole Table i.e. </t>
    </r>
    <r>
      <rPr>
        <b/>
        <sz val="12"/>
        <color rgb="FFC00000"/>
        <rFont val="Times New Roman"/>
        <family val="1"/>
      </rPr>
      <t>[=G29:M34]</t>
    </r>
  </si>
  <si>
    <t>Step 2: Under Home Tab -&gt; Conditional Formating</t>
  </si>
  <si>
    <t xml:space="preserve"> Step 3: Highlight Cell Rules -&gt; Greater than</t>
  </si>
  <si>
    <t>Target Salary</t>
  </si>
  <si>
    <t>Current Salary:</t>
  </si>
  <si>
    <t>Case 2: Shivani Salary Dataset: Anshu the HR Decides to tweek the HRA and Health Insurance Section in order to Raise the Salary:</t>
  </si>
  <si>
    <t>Health Insurance [Row]</t>
  </si>
  <si>
    <t>HRA [Column]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</si>
</sst>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3" tint="-0.499984740745262"/>
      <name val="Times New Roman"/>
      <family val="1"/>
    </font>
    <font>
      <sz val="8"/>
      <name val="Calibri"/>
      <family val="2"/>
      <scheme val="minor"/>
    </font>
    <font>
      <b/>
      <sz val="12"/>
      <color rgb="FFC00000"/>
      <name val="Times New Roman"/>
      <family val="1"/>
    </font>
    <font>
      <b/>
      <sz val="12"/>
      <color indexed="9"/>
      <name val="Times New Roman"/>
      <family val="1"/>
    </font>
    <font>
      <sz val="12"/>
      <color indexed="9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18"/>
      <name val="Times New Roman"/>
      <family val="1"/>
    </font>
    <font>
      <sz val="12"/>
      <color rgb="FFC00000"/>
      <name val="Times New Roman"/>
      <family val="1"/>
    </font>
    <font>
      <b/>
      <sz val="12"/>
      <color rgb="FF002060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4" tint="-0.499984740745262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2" fillId="4" borderId="1" xfId="0" applyFont="1" applyFill="1" applyBorder="1"/>
    <xf numFmtId="0" fontId="2" fillId="2" borderId="1" xfId="0" applyFont="1" applyFill="1" applyBorder="1"/>
    <xf numFmtId="0" fontId="2" fillId="5" borderId="1" xfId="0" applyFont="1" applyFill="1" applyBorder="1"/>
    <xf numFmtId="0" fontId="3" fillId="6" borderId="1" xfId="0" applyFont="1" applyFill="1" applyBorder="1"/>
    <xf numFmtId="0" fontId="4" fillId="6" borderId="1" xfId="0" applyFont="1" applyFill="1" applyBorder="1"/>
    <xf numFmtId="0" fontId="6" fillId="0" borderId="0" xfId="0" applyFont="1"/>
    <xf numFmtId="0" fontId="7" fillId="7" borderId="3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left"/>
    </xf>
    <xf numFmtId="0" fontId="8" fillId="7" borderId="3" xfId="0" applyFont="1" applyFill="1" applyBorder="1" applyAlignment="1">
      <alignment horizontal="right"/>
    </xf>
    <xf numFmtId="0" fontId="8" fillId="7" borderId="2" xfId="0" applyFont="1" applyFill="1" applyBorder="1" applyAlignment="1">
      <alignment horizontal="right"/>
    </xf>
    <xf numFmtId="0" fontId="9" fillId="8" borderId="0" xfId="0" applyFont="1" applyFill="1" applyAlignment="1">
      <alignment horizontal="left"/>
    </xf>
    <xf numFmtId="0" fontId="1" fillId="0" borderId="0" xfId="0" applyFont="1" applyAlignment="1">
      <alignment vertical="top" wrapText="1"/>
    </xf>
    <xf numFmtId="0" fontId="10" fillId="8" borderId="5" xfId="0" applyFont="1" applyFill="1" applyBorder="1" applyAlignment="1">
      <alignment horizontal="left"/>
    </xf>
    <xf numFmtId="0" fontId="1" fillId="0" borderId="5" xfId="0" applyFont="1" applyBorder="1"/>
    <xf numFmtId="0" fontId="1" fillId="9" borderId="0" xfId="0" applyFont="1" applyFill="1"/>
    <xf numFmtId="0" fontId="9" fillId="8" borderId="4" xfId="0" applyFont="1" applyFill="1" applyBorder="1" applyAlignment="1">
      <alignment horizontal="left"/>
    </xf>
    <xf numFmtId="0" fontId="1" fillId="0" borderId="4" xfId="0" applyFont="1" applyBorder="1"/>
    <xf numFmtId="0" fontId="1" fillId="0" borderId="0" xfId="0" applyFont="1" applyAlignment="1">
      <alignment vertical="center"/>
    </xf>
    <xf numFmtId="0" fontId="7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right" vertical="center"/>
    </xf>
    <xf numFmtId="0" fontId="7" fillId="7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right" vertical="center"/>
    </xf>
    <xf numFmtId="0" fontId="9" fillId="8" borderId="0" xfId="0" applyFont="1" applyFill="1" applyAlignment="1">
      <alignment horizontal="left" vertical="center"/>
    </xf>
    <xf numFmtId="0" fontId="1" fillId="0" borderId="0" xfId="0" applyFont="1" applyAlignment="1">
      <alignment vertical="center" wrapText="1"/>
    </xf>
    <xf numFmtId="0" fontId="10" fillId="8" borderId="5" xfId="0" applyFont="1" applyFill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9" borderId="0" xfId="0" applyFont="1" applyFill="1" applyAlignment="1">
      <alignment vertical="center"/>
    </xf>
    <xf numFmtId="0" fontId="9" fillId="8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2" fillId="12" borderId="1" xfId="0" applyFont="1" applyFill="1" applyBorder="1"/>
    <xf numFmtId="0" fontId="1" fillId="12" borderId="1" xfId="0" applyFont="1" applyFill="1" applyBorder="1"/>
    <xf numFmtId="0" fontId="2" fillId="13" borderId="1" xfId="0" applyFont="1" applyFill="1" applyBorder="1"/>
    <xf numFmtId="0" fontId="1" fillId="13" borderId="1" xfId="0" applyFont="1" applyFill="1" applyBorder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15" borderId="1" xfId="0" applyFont="1" applyFill="1" applyBorder="1" applyAlignment="1">
      <alignment horizontal="center"/>
    </xf>
    <xf numFmtId="0" fontId="2" fillId="15" borderId="1" xfId="0" applyFont="1" applyFill="1" applyBorder="1"/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1" fontId="1" fillId="14" borderId="1" xfId="0" applyNumberFormat="1" applyFont="1" applyFill="1" applyBorder="1" applyAlignment="1">
      <alignment horizontal="center" vertical="center"/>
    </xf>
    <xf numFmtId="9" fontId="1" fillId="1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11" borderId="0" xfId="0" applyFont="1" applyFill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2" fillId="1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7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  <xf numFmtId="0" fontId="1" fillId="6" borderId="8" xfId="0" applyFont="1" applyFill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10" borderId="7" xfId="0" applyFont="1" applyFill="1" applyBorder="1" applyAlignment="1">
      <alignment horizontal="left"/>
    </xf>
    <xf numFmtId="0" fontId="1" fillId="10" borderId="5" xfId="0" applyFont="1" applyFill="1" applyBorder="1" applyAlignment="1">
      <alignment horizontal="left"/>
    </xf>
    <xf numFmtId="0" fontId="1" fillId="10" borderId="8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11" borderId="7" xfId="0" applyFont="1" applyFill="1" applyBorder="1" applyAlignment="1">
      <alignment horizontal="left"/>
    </xf>
    <xf numFmtId="0" fontId="1" fillId="11" borderId="5" xfId="0" applyFont="1" applyFill="1" applyBorder="1" applyAlignment="1">
      <alignment horizontal="left"/>
    </xf>
    <xf numFmtId="0" fontId="1" fillId="11" borderId="8" xfId="0" applyFont="1" applyFill="1" applyBorder="1" applyAlignment="1">
      <alignment horizontal="left"/>
    </xf>
    <xf numFmtId="0" fontId="1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vertical="center"/>
    </xf>
    <xf numFmtId="0" fontId="15" fillId="12" borderId="6" xfId="0" applyFont="1" applyFill="1" applyBorder="1" applyAlignment="1">
      <alignment horizontal="left" vertical="center"/>
    </xf>
    <xf numFmtId="0" fontId="15" fillId="12" borderId="0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18" borderId="1" xfId="0" applyFont="1" applyFill="1" applyBorder="1" applyAlignment="1">
      <alignment vertical="center"/>
    </xf>
    <xf numFmtId="0" fontId="16" fillId="18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8</xdr:row>
      <xdr:rowOff>106680</xdr:rowOff>
    </xdr:from>
    <xdr:to>
      <xdr:col>3</xdr:col>
      <xdr:colOff>609600</xdr:colOff>
      <xdr:row>8</xdr:row>
      <xdr:rowOff>106680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A2FD697-5D97-4737-AD08-D106A7E239ED}"/>
            </a:ext>
          </a:extLst>
        </xdr:cNvPr>
        <xdr:cNvCxnSpPr/>
      </xdr:nvCxnSpPr>
      <xdr:spPr>
        <a:xfrm>
          <a:off x="2971800" y="5455920"/>
          <a:ext cx="43434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F40F-6C0D-46EB-A751-B3A635F8D47D}">
  <dimension ref="B2:M42"/>
  <sheetViews>
    <sheetView workbookViewId="0">
      <selection activeCell="C19" sqref="C19"/>
    </sheetView>
  </sheetViews>
  <sheetFormatPr defaultRowHeight="15.6" x14ac:dyDescent="0.3"/>
  <cols>
    <col min="1" max="1" width="8.88671875" style="1"/>
    <col min="2" max="2" width="20.88671875" style="1" bestFit="1" customWidth="1"/>
    <col min="3" max="3" width="11" style="1" bestFit="1" customWidth="1"/>
    <col min="4" max="4" width="11.5546875" style="2" customWidth="1"/>
    <col min="5" max="5" width="12.88671875" style="1" customWidth="1"/>
    <col min="6" max="6" width="11.6640625" style="1" bestFit="1" customWidth="1"/>
    <col min="7" max="7" width="15.33203125" style="1" customWidth="1"/>
    <col min="8" max="8" width="13.44140625" style="1" customWidth="1"/>
    <col min="9" max="9" width="19.33203125" style="1" customWidth="1"/>
    <col min="10" max="10" width="15.33203125" style="1" customWidth="1"/>
    <col min="11" max="16384" width="8.88671875" style="1"/>
  </cols>
  <sheetData>
    <row r="2" spans="2:13" x14ac:dyDescent="0.3">
      <c r="B2" s="73" t="s">
        <v>4</v>
      </c>
      <c r="C2" s="73"/>
      <c r="D2" s="73"/>
      <c r="E2" s="73"/>
      <c r="F2" s="74" t="s">
        <v>0</v>
      </c>
      <c r="G2" s="74"/>
      <c r="H2" s="74"/>
      <c r="I2" s="74"/>
      <c r="J2" s="74"/>
      <c r="K2" s="74"/>
      <c r="L2" s="74"/>
      <c r="M2" s="74"/>
    </row>
    <row r="4" spans="2:13" x14ac:dyDescent="0.3">
      <c r="B4" s="75" t="s">
        <v>1</v>
      </c>
      <c r="C4" s="75"/>
      <c r="D4" s="75"/>
    </row>
    <row r="5" spans="2:13" x14ac:dyDescent="0.3">
      <c r="B5" s="75" t="s">
        <v>2</v>
      </c>
      <c r="C5" s="75"/>
      <c r="D5" s="75"/>
    </row>
    <row r="6" spans="2:13" x14ac:dyDescent="0.3">
      <c r="B6" s="75" t="s">
        <v>3</v>
      </c>
      <c r="C6" s="75"/>
      <c r="D6" s="75"/>
    </row>
    <row r="9" spans="2:13" x14ac:dyDescent="0.3">
      <c r="B9" s="72" t="s">
        <v>1</v>
      </c>
      <c r="C9" s="72"/>
      <c r="E9" s="11" t="s">
        <v>13</v>
      </c>
      <c r="F9" s="11" t="s">
        <v>16</v>
      </c>
      <c r="G9" s="11" t="s">
        <v>17</v>
      </c>
      <c r="H9" s="11" t="s">
        <v>23</v>
      </c>
    </row>
    <row r="10" spans="2:13" x14ac:dyDescent="0.3">
      <c r="B10" s="5"/>
      <c r="C10" s="6" t="s">
        <v>8</v>
      </c>
      <c r="E10" s="4" t="s">
        <v>14</v>
      </c>
      <c r="F10" s="4" t="s">
        <v>18</v>
      </c>
      <c r="G10" s="4" t="s">
        <v>19</v>
      </c>
      <c r="H10" s="4" t="s">
        <v>24</v>
      </c>
    </row>
    <row r="11" spans="2:13" x14ac:dyDescent="0.3">
      <c r="B11" s="7" t="s">
        <v>5</v>
      </c>
      <c r="C11" s="5">
        <v>650</v>
      </c>
      <c r="E11" s="4" t="s">
        <v>15</v>
      </c>
      <c r="F11" s="4" t="s">
        <v>20</v>
      </c>
      <c r="G11" s="4" t="s">
        <v>21</v>
      </c>
      <c r="H11" s="4" t="s">
        <v>25</v>
      </c>
    </row>
    <row r="12" spans="2:13" x14ac:dyDescent="0.3">
      <c r="B12" s="7" t="s">
        <v>6</v>
      </c>
      <c r="C12" s="5">
        <v>999</v>
      </c>
    </row>
    <row r="13" spans="2:13" x14ac:dyDescent="0.3">
      <c r="B13" s="9" t="s">
        <v>7</v>
      </c>
      <c r="C13" s="10">
        <f>PRODUCT(C11, C12)</f>
        <v>649350</v>
      </c>
      <c r="E13" s="69" t="s">
        <v>22</v>
      </c>
      <c r="F13" s="70"/>
      <c r="G13" s="70"/>
      <c r="H13" s="70"/>
      <c r="I13" s="70"/>
      <c r="J13" s="71"/>
    </row>
    <row r="14" spans="2:13" x14ac:dyDescent="0.3">
      <c r="B14" s="8"/>
      <c r="C14" s="5"/>
      <c r="E14" s="66" t="s">
        <v>38</v>
      </c>
      <c r="F14" s="67"/>
      <c r="G14" s="67"/>
      <c r="H14" s="67"/>
      <c r="I14" s="67"/>
      <c r="J14" s="68"/>
    </row>
    <row r="15" spans="2:13" x14ac:dyDescent="0.3">
      <c r="B15" s="8" t="s">
        <v>9</v>
      </c>
      <c r="C15" s="5">
        <f>C13*10%</f>
        <v>64935</v>
      </c>
      <c r="E15" s="76" t="s">
        <v>39</v>
      </c>
      <c r="F15" s="77"/>
      <c r="G15" s="77"/>
      <c r="H15" s="77"/>
      <c r="I15" s="77"/>
      <c r="J15" s="78"/>
    </row>
    <row r="16" spans="2:13" x14ac:dyDescent="0.3">
      <c r="B16" s="8" t="s">
        <v>10</v>
      </c>
      <c r="C16" s="5">
        <f>2%*C13</f>
        <v>12987</v>
      </c>
      <c r="E16" s="79" t="s">
        <v>40</v>
      </c>
      <c r="F16" s="80"/>
      <c r="G16" s="80"/>
      <c r="H16" s="80"/>
      <c r="I16" s="80"/>
      <c r="J16" s="81"/>
    </row>
    <row r="17" spans="2:10" x14ac:dyDescent="0.3">
      <c r="B17" s="9" t="s">
        <v>11</v>
      </c>
      <c r="C17" s="10">
        <f>SUM(C15, C16)</f>
        <v>77922</v>
      </c>
      <c r="E17" s="82" t="s">
        <v>41</v>
      </c>
      <c r="F17" s="83"/>
      <c r="G17" s="83"/>
      <c r="H17" s="83"/>
      <c r="I17" s="83"/>
      <c r="J17" s="84"/>
    </row>
    <row r="18" spans="2:10" x14ac:dyDescent="0.3">
      <c r="B18" s="8"/>
      <c r="C18" s="5"/>
      <c r="E18" s="85" t="s">
        <v>42</v>
      </c>
      <c r="F18" s="86"/>
      <c r="G18" s="86"/>
      <c r="H18" s="86"/>
      <c r="I18" s="86"/>
      <c r="J18" s="87"/>
    </row>
    <row r="19" spans="2:10" x14ac:dyDescent="0.3">
      <c r="B19" s="9" t="s">
        <v>12</v>
      </c>
      <c r="C19" s="10">
        <f>C13-C17</f>
        <v>571428</v>
      </c>
    </row>
    <row r="32" spans="2:10" x14ac:dyDescent="0.3">
      <c r="D32" s="1"/>
    </row>
    <row r="33" spans="4:4" x14ac:dyDescent="0.3">
      <c r="D33" s="1"/>
    </row>
    <row r="35" spans="4:4" x14ac:dyDescent="0.3">
      <c r="D35" s="1"/>
    </row>
    <row r="36" spans="4:4" x14ac:dyDescent="0.3">
      <c r="D36" s="1"/>
    </row>
    <row r="37" spans="4:4" x14ac:dyDescent="0.3">
      <c r="D37" s="1"/>
    </row>
    <row r="38" spans="4:4" x14ac:dyDescent="0.3">
      <c r="D38" s="1"/>
    </row>
    <row r="39" spans="4:4" x14ac:dyDescent="0.3">
      <c r="D39" s="1"/>
    </row>
    <row r="40" spans="4:4" x14ac:dyDescent="0.3">
      <c r="D40" s="1"/>
    </row>
    <row r="41" spans="4:4" x14ac:dyDescent="0.3">
      <c r="D41" s="1"/>
    </row>
    <row r="42" spans="4:4" x14ac:dyDescent="0.3">
      <c r="D42" s="1"/>
    </row>
  </sheetData>
  <scenarios current="1" sqref="C19">
    <scenario name="Scenario 1" locked="1" count="2" user="Aryan Jaiswal" comment="Created by Aryan Jaiswal on 26-11-2025">
      <inputCells r="C11" val="780"/>
      <inputCells r="C12" val="699"/>
    </scenario>
    <scenario name="Scenario 2" locked="1" count="2" user="Aryan Jaiswal" comment="Created by Aryan Jaiswal on 26-11-2025_x000a_Modified by Aryan Jaiswal on 26-11-2025">
      <inputCells r="C11" val="500"/>
      <inputCells r="C12" val="1399"/>
    </scenario>
    <scenario name="Scenario 3" locked="1" count="2" user="Aryan Jaiswal" comment="Created by Aryan Jaiswal on 26-11-2025">
      <inputCells r="C11" val="1000"/>
      <inputCells r="C12" val="499"/>
    </scenario>
    <scenario name="Scenario 4" locked="1" count="2" user="Aryan Jaiswal" comment="Created by Aryan Jaiswal on 26-11-2025">
      <inputCells r="C11" val="879"/>
      <inputCells r="C12" val="999"/>
    </scenario>
  </scenarios>
  <mergeCells count="12">
    <mergeCell ref="E15:J15"/>
    <mergeCell ref="E16:J16"/>
    <mergeCell ref="E17:J17"/>
    <mergeCell ref="E18:J18"/>
    <mergeCell ref="E14:J14"/>
    <mergeCell ref="E13:J13"/>
    <mergeCell ref="B9:C9"/>
    <mergeCell ref="B2:E2"/>
    <mergeCell ref="F2:M2"/>
    <mergeCell ref="B4:D4"/>
    <mergeCell ref="B5:D5"/>
    <mergeCell ref="B6:D6"/>
  </mergeCells>
  <phoneticPr fontId="5" type="noConversion"/>
  <pageMargins left="0.7" right="0.7" top="0.75" bottom="0.75" header="0.3" footer="0.3"/>
  <pageSetup paperSize="9" orientation="portrait" horizontalDpi="12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12C4-F38D-494F-9BBA-5892A2DC1E89}">
  <sheetPr>
    <outlinePr summaryBelow="0"/>
  </sheetPr>
  <dimension ref="B1:H12"/>
  <sheetViews>
    <sheetView showGridLines="0" workbookViewId="0">
      <selection activeCell="H18" sqref="H18"/>
    </sheetView>
  </sheetViews>
  <sheetFormatPr defaultRowHeight="15.6" outlineLevelRow="1" outlineLevelCol="1" x14ac:dyDescent="0.3"/>
  <cols>
    <col min="1" max="2" width="8.88671875" style="23"/>
    <col min="3" max="3" width="10.88671875" style="23" bestFit="1" customWidth="1"/>
    <col min="4" max="8" width="13.109375" style="23" bestFit="1" customWidth="1" outlineLevel="1"/>
    <col min="9" max="16384" width="8.88671875" style="23"/>
  </cols>
  <sheetData>
    <row r="1" spans="2:8" ht="16.2" thickBot="1" x14ac:dyDescent="0.35"/>
    <row r="2" spans="2:8" x14ac:dyDescent="0.3">
      <c r="B2" s="24" t="s">
        <v>30</v>
      </c>
      <c r="C2" s="24"/>
      <c r="D2" s="25"/>
      <c r="E2" s="25"/>
      <c r="F2" s="25"/>
      <c r="G2" s="25"/>
      <c r="H2" s="25"/>
    </row>
    <row r="3" spans="2:8" collapsed="1" x14ac:dyDescent="0.3">
      <c r="B3" s="26"/>
      <c r="C3" s="26"/>
      <c r="D3" s="27" t="s">
        <v>32</v>
      </c>
      <c r="E3" s="27" t="s">
        <v>13</v>
      </c>
      <c r="F3" s="27" t="s">
        <v>16</v>
      </c>
      <c r="G3" s="27" t="s">
        <v>17</v>
      </c>
      <c r="H3" s="27" t="s">
        <v>23</v>
      </c>
    </row>
    <row r="4" spans="2:8" ht="62.4" hidden="1" outlineLevel="1" x14ac:dyDescent="0.3">
      <c r="B4" s="28"/>
      <c r="C4" s="28"/>
      <c r="E4" s="29" t="s">
        <v>29</v>
      </c>
      <c r="F4" s="29" t="s">
        <v>29</v>
      </c>
      <c r="G4" s="29" t="s">
        <v>29</v>
      </c>
      <c r="H4" s="29" t="s">
        <v>29</v>
      </c>
    </row>
    <row r="5" spans="2:8" x14ac:dyDescent="0.3">
      <c r="B5" s="30" t="s">
        <v>31</v>
      </c>
      <c r="C5" s="30"/>
      <c r="D5" s="31"/>
      <c r="E5" s="31"/>
      <c r="F5" s="31"/>
      <c r="G5" s="31"/>
      <c r="H5" s="31"/>
    </row>
    <row r="6" spans="2:8" outlineLevel="1" x14ac:dyDescent="0.3">
      <c r="B6" s="28"/>
      <c r="C6" s="28" t="s">
        <v>26</v>
      </c>
      <c r="D6" s="23">
        <v>650</v>
      </c>
      <c r="E6" s="32">
        <v>780</v>
      </c>
      <c r="F6" s="32">
        <v>500</v>
      </c>
      <c r="G6" s="32">
        <v>1000</v>
      </c>
      <c r="H6" s="32">
        <v>879</v>
      </c>
    </row>
    <row r="7" spans="2:8" outlineLevel="1" x14ac:dyDescent="0.3">
      <c r="B7" s="28"/>
      <c r="C7" s="28" t="s">
        <v>27</v>
      </c>
      <c r="D7" s="23">
        <v>999</v>
      </c>
      <c r="E7" s="32">
        <v>699</v>
      </c>
      <c r="F7" s="32">
        <v>1299</v>
      </c>
      <c r="G7" s="32">
        <v>499</v>
      </c>
      <c r="H7" s="32">
        <v>999</v>
      </c>
    </row>
    <row r="8" spans="2:8" x14ac:dyDescent="0.3">
      <c r="B8" s="30" t="s">
        <v>33</v>
      </c>
      <c r="C8" s="30"/>
      <c r="D8" s="31"/>
      <c r="E8" s="31"/>
      <c r="F8" s="31"/>
      <c r="G8" s="31"/>
      <c r="H8" s="31"/>
    </row>
    <row r="9" spans="2:8" ht="16.2" outlineLevel="1" thickBot="1" x14ac:dyDescent="0.35">
      <c r="B9" s="33"/>
      <c r="C9" s="33" t="s">
        <v>28</v>
      </c>
      <c r="D9" s="34">
        <v>571428</v>
      </c>
      <c r="E9" s="34">
        <v>479793.6</v>
      </c>
      <c r="F9" s="34">
        <v>571560</v>
      </c>
      <c r="G9" s="34">
        <v>439120</v>
      </c>
      <c r="H9" s="34">
        <v>772746.48</v>
      </c>
    </row>
    <row r="10" spans="2:8" x14ac:dyDescent="0.3">
      <c r="B10" s="23" t="s">
        <v>34</v>
      </c>
    </row>
    <row r="11" spans="2:8" x14ac:dyDescent="0.3">
      <c r="B11" s="23" t="s">
        <v>35</v>
      </c>
    </row>
    <row r="12" spans="2:8" x14ac:dyDescent="0.3">
      <c r="B12" s="2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E5D4-14EA-42E3-9757-85DF712184BF}">
  <sheetPr>
    <outlinePr summaryBelow="0"/>
  </sheetPr>
  <dimension ref="B1:H12"/>
  <sheetViews>
    <sheetView showGridLines="0" workbookViewId="0">
      <selection activeCell="C1" sqref="C1"/>
    </sheetView>
  </sheetViews>
  <sheetFormatPr defaultRowHeight="15.6" outlineLevelRow="1" outlineLevelCol="1" x14ac:dyDescent="0.3"/>
  <cols>
    <col min="1" max="2" width="8.88671875" style="1"/>
    <col min="3" max="3" width="10.88671875" style="1" bestFit="1" customWidth="1"/>
    <col min="4" max="8" width="13.109375" style="1" bestFit="1" customWidth="1" outlineLevel="1"/>
    <col min="9" max="16384" width="8.88671875" style="1"/>
  </cols>
  <sheetData>
    <row r="1" spans="2:8" ht="16.2" thickBot="1" x14ac:dyDescent="0.35"/>
    <row r="2" spans="2:8" x14ac:dyDescent="0.3">
      <c r="B2" s="12" t="s">
        <v>30</v>
      </c>
      <c r="C2" s="12"/>
      <c r="D2" s="14"/>
      <c r="E2" s="14"/>
      <c r="F2" s="14"/>
      <c r="G2" s="14"/>
      <c r="H2" s="14"/>
    </row>
    <row r="3" spans="2:8" collapsed="1" x14ac:dyDescent="0.3">
      <c r="B3" s="13"/>
      <c r="C3" s="13"/>
      <c r="D3" s="15" t="s">
        <v>32</v>
      </c>
      <c r="E3" s="15" t="s">
        <v>13</v>
      </c>
      <c r="F3" s="15" t="s">
        <v>16</v>
      </c>
      <c r="G3" s="15" t="s">
        <v>17</v>
      </c>
      <c r="H3" s="15" t="s">
        <v>23</v>
      </c>
    </row>
    <row r="4" spans="2:8" ht="124.8" hidden="1" outlineLevel="1" x14ac:dyDescent="0.3">
      <c r="B4" s="16"/>
      <c r="C4" s="16"/>
      <c r="E4" s="17" t="s">
        <v>29</v>
      </c>
      <c r="F4" s="17" t="s">
        <v>37</v>
      </c>
      <c r="G4" s="17" t="s">
        <v>29</v>
      </c>
      <c r="H4" s="17" t="s">
        <v>29</v>
      </c>
    </row>
    <row r="5" spans="2:8" x14ac:dyDescent="0.3">
      <c r="B5" s="18" t="s">
        <v>31</v>
      </c>
      <c r="C5" s="18"/>
      <c r="D5" s="19"/>
      <c r="E5" s="19"/>
      <c r="F5" s="19"/>
      <c r="G5" s="19"/>
      <c r="H5" s="19"/>
    </row>
    <row r="6" spans="2:8" outlineLevel="1" x14ac:dyDescent="0.3">
      <c r="B6" s="16"/>
      <c r="C6" s="16" t="s">
        <v>26</v>
      </c>
      <c r="D6" s="1">
        <v>650</v>
      </c>
      <c r="E6" s="20">
        <v>780</v>
      </c>
      <c r="F6" s="20">
        <v>500</v>
      </c>
      <c r="G6" s="20">
        <v>1000</v>
      </c>
      <c r="H6" s="20">
        <v>879</v>
      </c>
    </row>
    <row r="7" spans="2:8" outlineLevel="1" x14ac:dyDescent="0.3">
      <c r="B7" s="16"/>
      <c r="C7" s="16" t="s">
        <v>27</v>
      </c>
      <c r="D7" s="1">
        <v>999</v>
      </c>
      <c r="E7" s="20">
        <v>699</v>
      </c>
      <c r="F7" s="20">
        <v>1399</v>
      </c>
      <c r="G7" s="20">
        <v>499</v>
      </c>
      <c r="H7" s="20">
        <v>999</v>
      </c>
    </row>
    <row r="8" spans="2:8" x14ac:dyDescent="0.3">
      <c r="B8" s="18" t="s">
        <v>33</v>
      </c>
      <c r="C8" s="18"/>
      <c r="D8" s="19"/>
      <c r="E8" s="19"/>
      <c r="F8" s="19"/>
      <c r="G8" s="19"/>
      <c r="H8" s="19"/>
    </row>
    <row r="9" spans="2:8" ht="16.2" outlineLevel="1" thickBot="1" x14ac:dyDescent="0.35">
      <c r="B9" s="21"/>
      <c r="C9" s="21" t="s">
        <v>28</v>
      </c>
      <c r="D9" s="22">
        <v>571428</v>
      </c>
      <c r="E9" s="22">
        <v>479793.6</v>
      </c>
      <c r="F9" s="22">
        <v>615560</v>
      </c>
      <c r="G9" s="22">
        <v>439120</v>
      </c>
      <c r="H9" s="22">
        <v>772746.48</v>
      </c>
    </row>
    <row r="10" spans="2:8" x14ac:dyDescent="0.3">
      <c r="B10" s="1" t="s">
        <v>34</v>
      </c>
    </row>
    <row r="11" spans="2:8" x14ac:dyDescent="0.3">
      <c r="B11" s="1" t="s">
        <v>35</v>
      </c>
    </row>
    <row r="12" spans="2:8" x14ac:dyDescent="0.3">
      <c r="B12" s="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A4F6-1A1B-4815-BF12-ECD6547E6233}">
  <dimension ref="B3:N23"/>
  <sheetViews>
    <sheetView workbookViewId="0">
      <selection activeCell="B6" sqref="B6:C13"/>
    </sheetView>
  </sheetViews>
  <sheetFormatPr defaultRowHeight="15.6" x14ac:dyDescent="0.3"/>
  <cols>
    <col min="1" max="1" width="8.88671875" style="1"/>
    <col min="2" max="2" width="17.21875" style="1" bestFit="1" customWidth="1"/>
    <col min="3" max="3" width="17.88671875" style="1" customWidth="1"/>
    <col min="4" max="4" width="11.77734375" style="1" customWidth="1"/>
    <col min="5" max="5" width="18.5546875" style="1" customWidth="1"/>
    <col min="6" max="6" width="17.6640625" style="1" customWidth="1"/>
    <col min="7" max="7" width="21.5546875" style="1" customWidth="1"/>
    <col min="8" max="8" width="8.88671875" style="1"/>
    <col min="9" max="9" width="15.109375" style="1" customWidth="1"/>
    <col min="10" max="10" width="12.109375" style="1" customWidth="1"/>
    <col min="11" max="11" width="12" style="1" customWidth="1"/>
    <col min="12" max="12" width="13.33203125" style="1" customWidth="1"/>
    <col min="13" max="13" width="13.88671875" style="1" customWidth="1"/>
    <col min="14" max="16384" width="8.88671875" style="1"/>
  </cols>
  <sheetData>
    <row r="3" spans="2:14" x14ac:dyDescent="0.3">
      <c r="B3" s="94" t="s">
        <v>2</v>
      </c>
      <c r="C3" s="94"/>
      <c r="D3" s="2"/>
    </row>
    <row r="4" spans="2:14" x14ac:dyDescent="0.3">
      <c r="D4" s="2"/>
    </row>
    <row r="5" spans="2:14" x14ac:dyDescent="0.3">
      <c r="B5" s="92" t="s">
        <v>43</v>
      </c>
      <c r="C5" s="92"/>
      <c r="D5" s="2"/>
      <c r="G5" s="95" t="s">
        <v>44</v>
      </c>
      <c r="H5" s="95"/>
      <c r="I5" s="96" t="s">
        <v>52</v>
      </c>
      <c r="J5" s="96"/>
      <c r="K5" s="96"/>
      <c r="L5" s="96"/>
      <c r="M5" s="96"/>
      <c r="N5" s="96"/>
    </row>
    <row r="6" spans="2:14" x14ac:dyDescent="0.3">
      <c r="B6" s="89" t="s">
        <v>54</v>
      </c>
      <c r="C6" s="89"/>
      <c r="D6" s="2"/>
      <c r="E6" s="93" t="s">
        <v>57</v>
      </c>
      <c r="F6" s="93"/>
    </row>
    <row r="7" spans="2:14" x14ac:dyDescent="0.3">
      <c r="B7" s="35" t="s">
        <v>45</v>
      </c>
      <c r="C7" s="5">
        <v>12000</v>
      </c>
      <c r="D7" s="2"/>
      <c r="E7" s="35" t="s">
        <v>45</v>
      </c>
      <c r="F7" s="5">
        <v>12000</v>
      </c>
      <c r="H7" s="97" t="s">
        <v>53</v>
      </c>
      <c r="I7" s="97"/>
      <c r="J7" s="97"/>
      <c r="K7" s="97"/>
      <c r="L7" s="97"/>
      <c r="M7" s="97"/>
    </row>
    <row r="8" spans="2:14" x14ac:dyDescent="0.3">
      <c r="B8" s="35" t="s">
        <v>46</v>
      </c>
      <c r="C8" s="5">
        <v>7800</v>
      </c>
      <c r="D8" s="2" t="s">
        <v>56</v>
      </c>
      <c r="E8" s="35" t="s">
        <v>46</v>
      </c>
      <c r="F8" s="5">
        <v>7800</v>
      </c>
      <c r="H8" s="98" t="s">
        <v>73</v>
      </c>
      <c r="I8" s="98"/>
      <c r="J8" s="98"/>
      <c r="K8" s="98"/>
      <c r="L8" s="98"/>
      <c r="M8" s="98"/>
    </row>
    <row r="9" spans="2:14" x14ac:dyDescent="0.3">
      <c r="B9" s="35" t="s">
        <v>47</v>
      </c>
      <c r="C9" s="5">
        <v>4000</v>
      </c>
      <c r="D9" s="2"/>
      <c r="E9" s="35" t="s">
        <v>47</v>
      </c>
      <c r="F9" s="5">
        <v>17380</v>
      </c>
      <c r="H9" s="88" t="s">
        <v>55</v>
      </c>
      <c r="I9" s="88"/>
      <c r="J9" s="88"/>
      <c r="K9" s="88"/>
      <c r="L9" s="88"/>
      <c r="M9" s="88"/>
    </row>
    <row r="10" spans="2:14" x14ac:dyDescent="0.3">
      <c r="B10" s="35" t="s">
        <v>48</v>
      </c>
      <c r="C10" s="5">
        <v>5320</v>
      </c>
      <c r="D10" s="2"/>
      <c r="E10" s="35" t="s">
        <v>48</v>
      </c>
      <c r="F10" s="5">
        <v>5320</v>
      </c>
      <c r="H10" s="90" t="s">
        <v>74</v>
      </c>
      <c r="I10" s="90"/>
      <c r="J10" s="90"/>
      <c r="K10" s="90"/>
      <c r="L10" s="90"/>
      <c r="M10" s="90"/>
    </row>
    <row r="11" spans="2:14" x14ac:dyDescent="0.3">
      <c r="B11" s="35" t="s">
        <v>49</v>
      </c>
      <c r="C11" s="5">
        <v>3500</v>
      </c>
      <c r="D11" s="2"/>
      <c r="E11" s="35" t="s">
        <v>49</v>
      </c>
      <c r="F11" s="5">
        <v>3500</v>
      </c>
      <c r="G11" s="91"/>
      <c r="H11" s="92"/>
      <c r="I11" s="92"/>
    </row>
    <row r="12" spans="2:14" x14ac:dyDescent="0.3">
      <c r="B12" s="36"/>
      <c r="C12" s="5"/>
      <c r="D12" s="2"/>
      <c r="E12" s="36"/>
      <c r="F12" s="5"/>
    </row>
    <row r="13" spans="2:14" x14ac:dyDescent="0.3">
      <c r="B13" s="37" t="s">
        <v>50</v>
      </c>
      <c r="C13" s="38">
        <f>SUM(C7:C11)</f>
        <v>32620</v>
      </c>
      <c r="D13" s="2"/>
      <c r="E13" s="37" t="s">
        <v>50</v>
      </c>
      <c r="F13" s="38">
        <f>SUM(F7:F11)</f>
        <v>46000</v>
      </c>
      <c r="G13" s="91" t="s">
        <v>51</v>
      </c>
      <c r="H13" s="92"/>
      <c r="I13" s="92"/>
      <c r="J13" s="39">
        <v>46000</v>
      </c>
    </row>
    <row r="14" spans="2:14" x14ac:dyDescent="0.3">
      <c r="B14" s="4"/>
      <c r="D14" s="2"/>
      <c r="E14" s="4"/>
      <c r="G14" s="3"/>
      <c r="H14" s="3"/>
      <c r="I14" s="3"/>
      <c r="J14" s="39"/>
    </row>
    <row r="15" spans="2:14" x14ac:dyDescent="0.3">
      <c r="D15" s="2"/>
    </row>
    <row r="16" spans="2:14" x14ac:dyDescent="0.3">
      <c r="B16" s="99" t="s">
        <v>67</v>
      </c>
      <c r="C16" s="100"/>
      <c r="D16" s="100"/>
      <c r="E16" s="101"/>
    </row>
    <row r="17" spans="2:12" x14ac:dyDescent="0.3">
      <c r="B17" s="5"/>
      <c r="C17" s="41" t="s">
        <v>62</v>
      </c>
      <c r="D17" s="41" t="s">
        <v>64</v>
      </c>
      <c r="E17" s="42" t="s">
        <v>63</v>
      </c>
      <c r="G17" s="97" t="s">
        <v>53</v>
      </c>
      <c r="H17" s="97"/>
      <c r="I17" s="97"/>
      <c r="J17" s="97"/>
      <c r="K17" s="97"/>
      <c r="L17" s="97"/>
    </row>
    <row r="18" spans="2:12" x14ac:dyDescent="0.3">
      <c r="B18" s="46" t="s">
        <v>58</v>
      </c>
      <c r="C18" s="43">
        <v>456200</v>
      </c>
      <c r="D18" s="44">
        <v>0.1</v>
      </c>
      <c r="E18" s="43">
        <f>C18*D18</f>
        <v>45620</v>
      </c>
      <c r="G18" s="98" t="s">
        <v>72</v>
      </c>
      <c r="H18" s="98"/>
      <c r="I18" s="98"/>
      <c r="J18" s="98"/>
      <c r="K18" s="98"/>
      <c r="L18" s="98"/>
    </row>
    <row r="19" spans="2:12" x14ac:dyDescent="0.3">
      <c r="B19" s="46" t="s">
        <v>59</v>
      </c>
      <c r="C19" s="43">
        <v>712459</v>
      </c>
      <c r="D19" s="44">
        <v>0.12</v>
      </c>
      <c r="E19" s="45">
        <f>C19*D19</f>
        <v>85495.08</v>
      </c>
      <c r="G19" s="88" t="s">
        <v>70</v>
      </c>
      <c r="H19" s="88"/>
      <c r="I19" s="88"/>
      <c r="J19" s="88"/>
      <c r="K19" s="88"/>
      <c r="L19" s="88"/>
    </row>
    <row r="20" spans="2:12" x14ac:dyDescent="0.3">
      <c r="B20" s="46" t="s">
        <v>60</v>
      </c>
      <c r="C20" s="43">
        <v>560000</v>
      </c>
      <c r="D20" s="44">
        <v>0.09</v>
      </c>
      <c r="E20" s="43">
        <f>C20*D20</f>
        <v>50400</v>
      </c>
      <c r="G20" s="90" t="s">
        <v>71</v>
      </c>
      <c r="H20" s="90"/>
      <c r="I20" s="90"/>
      <c r="J20" s="90"/>
      <c r="K20" s="90"/>
      <c r="L20" s="90"/>
    </row>
    <row r="21" spans="2:12" x14ac:dyDescent="0.3">
      <c r="B21" s="46" t="s">
        <v>61</v>
      </c>
      <c r="C21" s="45">
        <v>622590.18181818177</v>
      </c>
      <c r="D21" s="44">
        <v>0.11</v>
      </c>
      <c r="E21" s="43">
        <f>C21*D21</f>
        <v>68484.92</v>
      </c>
    </row>
    <row r="22" spans="2:12" x14ac:dyDescent="0.3">
      <c r="B22" s="50" t="s">
        <v>68</v>
      </c>
      <c r="C22" s="51"/>
      <c r="D22" s="52"/>
      <c r="E22" s="51">
        <f>SUM(E18:E21)</f>
        <v>250000</v>
      </c>
      <c r="F22" s="102" t="s">
        <v>69</v>
      </c>
      <c r="G22" s="103"/>
      <c r="H22" s="103"/>
      <c r="I22" s="103"/>
      <c r="J22" s="103"/>
      <c r="K22" s="103"/>
      <c r="L22" s="103"/>
    </row>
    <row r="23" spans="2:12" x14ac:dyDescent="0.3">
      <c r="B23" s="47" t="s">
        <v>66</v>
      </c>
      <c r="C23" s="48"/>
      <c r="D23" s="48"/>
      <c r="E23" s="49">
        <v>250000</v>
      </c>
    </row>
  </sheetData>
  <mergeCells count="18">
    <mergeCell ref="B16:E16"/>
    <mergeCell ref="F22:L22"/>
    <mergeCell ref="G17:L17"/>
    <mergeCell ref="G18:L18"/>
    <mergeCell ref="G19:L19"/>
    <mergeCell ref="G20:L20"/>
    <mergeCell ref="B3:C3"/>
    <mergeCell ref="B5:C5"/>
    <mergeCell ref="G5:H5"/>
    <mergeCell ref="I5:N5"/>
    <mergeCell ref="G11:I11"/>
    <mergeCell ref="H7:M7"/>
    <mergeCell ref="H8:M8"/>
    <mergeCell ref="H9:M9"/>
    <mergeCell ref="B6:C6"/>
    <mergeCell ref="H10:M10"/>
    <mergeCell ref="G13:I13"/>
    <mergeCell ref="E6:F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322B-7AED-432D-8235-C5838646036F}">
  <dimension ref="A1:O49"/>
  <sheetViews>
    <sheetView tabSelected="1" topLeftCell="A26" zoomScale="85" zoomScaleNormal="85" workbookViewId="0">
      <selection activeCell="D43" sqref="D43"/>
    </sheetView>
  </sheetViews>
  <sheetFormatPr defaultRowHeight="15.6" x14ac:dyDescent="0.3"/>
  <cols>
    <col min="1" max="1" width="17.77734375" style="23" bestFit="1" customWidth="1"/>
    <col min="2" max="2" width="20.88671875" style="23" bestFit="1" customWidth="1"/>
    <col min="3" max="3" width="16.6640625" style="23" customWidth="1"/>
    <col min="4" max="4" width="19.109375" style="23" customWidth="1"/>
    <col min="5" max="5" width="16.5546875" style="23" bestFit="1" customWidth="1"/>
    <col min="6" max="6" width="14.21875" style="23" customWidth="1"/>
    <col min="7" max="7" width="11.6640625" style="23" customWidth="1"/>
    <col min="8" max="8" width="12" style="23" customWidth="1"/>
    <col min="9" max="9" width="10.109375" style="23" customWidth="1"/>
    <col min="10" max="10" width="10" style="23" customWidth="1"/>
    <col min="11" max="11" width="10.21875" style="23" customWidth="1"/>
    <col min="12" max="12" width="10.33203125" style="23" customWidth="1"/>
    <col min="13" max="13" width="12.33203125" style="23" customWidth="1"/>
    <col min="14" max="14" width="13.21875" style="23" customWidth="1"/>
    <col min="15" max="16384" width="8.88671875" style="23"/>
  </cols>
  <sheetData>
    <row r="1" spans="2:15" ht="20.399999999999999" x14ac:dyDescent="0.3">
      <c r="B1" s="115" t="s">
        <v>75</v>
      </c>
      <c r="C1" s="115"/>
      <c r="D1" s="115"/>
      <c r="E1" s="115"/>
      <c r="F1" s="115"/>
    </row>
    <row r="3" spans="2:15" x14ac:dyDescent="0.3">
      <c r="B3" s="5"/>
      <c r="C3" s="6" t="s">
        <v>8</v>
      </c>
      <c r="E3" s="11" t="s">
        <v>13</v>
      </c>
      <c r="F3" s="11" t="s">
        <v>16</v>
      </c>
      <c r="G3" s="11" t="s">
        <v>17</v>
      </c>
      <c r="H3" s="11" t="s">
        <v>23</v>
      </c>
    </row>
    <row r="4" spans="2:15" x14ac:dyDescent="0.3">
      <c r="B4" s="7" t="s">
        <v>5</v>
      </c>
      <c r="C4" s="5">
        <v>650</v>
      </c>
      <c r="E4" s="4" t="s">
        <v>14</v>
      </c>
      <c r="F4" s="4" t="s">
        <v>18</v>
      </c>
      <c r="G4" s="4" t="s">
        <v>19</v>
      </c>
      <c r="H4" s="4" t="s">
        <v>24</v>
      </c>
    </row>
    <row r="5" spans="2:15" x14ac:dyDescent="0.3">
      <c r="B5" s="7" t="s">
        <v>6</v>
      </c>
      <c r="C5" s="5">
        <v>999</v>
      </c>
      <c r="E5" s="4" t="s">
        <v>15</v>
      </c>
      <c r="F5" s="4" t="s">
        <v>20</v>
      </c>
      <c r="G5" s="4" t="s">
        <v>21</v>
      </c>
      <c r="H5" s="4" t="s">
        <v>25</v>
      </c>
    </row>
    <row r="6" spans="2:15" x14ac:dyDescent="0.3">
      <c r="B6" s="9" t="s">
        <v>7</v>
      </c>
      <c r="C6" s="10">
        <f>PRODUCT(C4, C5)</f>
        <v>649350</v>
      </c>
    </row>
    <row r="7" spans="2:15" x14ac:dyDescent="0.3">
      <c r="B7" s="8"/>
      <c r="C7" s="5"/>
    </row>
    <row r="8" spans="2:15" x14ac:dyDescent="0.3">
      <c r="B8" s="8" t="s">
        <v>9</v>
      </c>
      <c r="C8" s="5">
        <f>C6*10%</f>
        <v>64935</v>
      </c>
    </row>
    <row r="9" spans="2:15" x14ac:dyDescent="0.3">
      <c r="B9" s="8" t="s">
        <v>10</v>
      </c>
      <c r="C9" s="5">
        <f>2%*C6</f>
        <v>12987</v>
      </c>
    </row>
    <row r="10" spans="2:15" x14ac:dyDescent="0.3">
      <c r="B10" s="9" t="s">
        <v>11</v>
      </c>
      <c r="C10" s="10">
        <f>SUM(C8, C9)</f>
        <v>77922</v>
      </c>
      <c r="G10" s="113" t="s">
        <v>26</v>
      </c>
      <c r="H10" s="113"/>
      <c r="I10" s="113"/>
      <c r="J10" s="113"/>
      <c r="K10" s="113"/>
      <c r="L10" s="113"/>
      <c r="M10" s="113"/>
    </row>
    <row r="11" spans="2:15" ht="16.2" thickBot="1" x14ac:dyDescent="0.35">
      <c r="B11" s="8"/>
      <c r="C11" s="5"/>
      <c r="E11" s="64" t="s">
        <v>76</v>
      </c>
      <c r="F11" s="40">
        <f>Profit</f>
        <v>571428</v>
      </c>
      <c r="G11" s="54">
        <v>780</v>
      </c>
      <c r="H11" s="54">
        <v>500</v>
      </c>
      <c r="I11" s="54">
        <v>1000</v>
      </c>
      <c r="J11" s="54">
        <v>879</v>
      </c>
      <c r="K11" s="54">
        <v>450</v>
      </c>
      <c r="L11" s="54">
        <v>1237</v>
      </c>
      <c r="M11" s="54">
        <v>970</v>
      </c>
    </row>
    <row r="12" spans="2:15" x14ac:dyDescent="0.3">
      <c r="B12" s="9" t="s">
        <v>12</v>
      </c>
      <c r="C12" s="10">
        <f>C6-C10</f>
        <v>571428</v>
      </c>
      <c r="E12" s="114" t="s">
        <v>27</v>
      </c>
      <c r="F12" s="63">
        <v>699</v>
      </c>
      <c r="G12" s="55">
        <f t="dataTable" ref="G12:M17" dt2D="1" dtr="1" r1="C5" r2="C4"/>
        <v>479793.6</v>
      </c>
      <c r="H12" s="56">
        <v>307560</v>
      </c>
      <c r="I12" s="56">
        <v>615120</v>
      </c>
      <c r="J12" s="56">
        <v>540690.48</v>
      </c>
      <c r="K12" s="56">
        <v>276804</v>
      </c>
      <c r="L12" s="56">
        <v>760903.44</v>
      </c>
      <c r="M12" s="57">
        <v>596666.4</v>
      </c>
      <c r="N12" s="104" t="s">
        <v>65</v>
      </c>
      <c r="O12" s="105"/>
    </row>
    <row r="13" spans="2:15" x14ac:dyDescent="0.3">
      <c r="E13" s="114"/>
      <c r="F13" s="63">
        <v>1299</v>
      </c>
      <c r="G13" s="58">
        <v>891633.6</v>
      </c>
      <c r="H13" s="53">
        <v>571560</v>
      </c>
      <c r="I13" s="53">
        <v>1143120</v>
      </c>
      <c r="J13" s="53">
        <v>1004802.48</v>
      </c>
      <c r="K13" s="53">
        <v>514404</v>
      </c>
      <c r="L13" s="53">
        <v>1414039.44</v>
      </c>
      <c r="M13" s="59">
        <v>1108826.3999999999</v>
      </c>
      <c r="N13" s="104"/>
      <c r="O13" s="105"/>
    </row>
    <row r="14" spans="2:15" x14ac:dyDescent="0.3">
      <c r="E14" s="114"/>
      <c r="F14" s="63">
        <v>499</v>
      </c>
      <c r="G14" s="58">
        <v>342513.6</v>
      </c>
      <c r="H14" s="53">
        <v>219560</v>
      </c>
      <c r="I14" s="53">
        <v>439120</v>
      </c>
      <c r="J14" s="53">
        <v>385986.48</v>
      </c>
      <c r="K14" s="53">
        <v>197604</v>
      </c>
      <c r="L14" s="53">
        <v>543191.43999999994</v>
      </c>
      <c r="M14" s="59">
        <v>425946.4</v>
      </c>
      <c r="N14" s="104"/>
      <c r="O14" s="105"/>
    </row>
    <row r="15" spans="2:15" x14ac:dyDescent="0.3">
      <c r="E15" s="114"/>
      <c r="F15" s="63">
        <v>999</v>
      </c>
      <c r="G15" s="58">
        <v>685713.6</v>
      </c>
      <c r="H15" s="53">
        <v>439560</v>
      </c>
      <c r="I15" s="53">
        <v>879120</v>
      </c>
      <c r="J15" s="53">
        <v>772746.48</v>
      </c>
      <c r="K15" s="53">
        <v>395604</v>
      </c>
      <c r="L15" s="53">
        <v>1087471.44</v>
      </c>
      <c r="M15" s="59">
        <v>852746.4</v>
      </c>
      <c r="N15" s="104"/>
      <c r="O15" s="105"/>
    </row>
    <row r="16" spans="2:15" x14ac:dyDescent="0.3">
      <c r="E16" s="114"/>
      <c r="F16" s="63">
        <v>2390</v>
      </c>
      <c r="G16" s="58">
        <v>1640496</v>
      </c>
      <c r="H16" s="53">
        <v>1051600</v>
      </c>
      <c r="I16" s="53">
        <v>2103200</v>
      </c>
      <c r="J16" s="53">
        <v>1848712.8</v>
      </c>
      <c r="K16" s="53">
        <v>946440</v>
      </c>
      <c r="L16" s="53">
        <v>2601658.4</v>
      </c>
      <c r="M16" s="59">
        <v>2040104</v>
      </c>
      <c r="N16" s="104"/>
      <c r="O16" s="105"/>
    </row>
    <row r="17" spans="1:15" ht="16.2" thickBot="1" x14ac:dyDescent="0.35">
      <c r="E17" s="114"/>
      <c r="F17" s="63">
        <v>1460</v>
      </c>
      <c r="G17" s="60">
        <v>1002144</v>
      </c>
      <c r="H17" s="61">
        <v>642400</v>
      </c>
      <c r="I17" s="61">
        <v>1284800</v>
      </c>
      <c r="J17" s="61">
        <v>1129339.2</v>
      </c>
      <c r="K17" s="61">
        <v>578160</v>
      </c>
      <c r="L17" s="61">
        <v>1589297.6</v>
      </c>
      <c r="M17" s="62">
        <v>1246256</v>
      </c>
      <c r="N17" s="104"/>
      <c r="O17" s="105"/>
    </row>
    <row r="18" spans="1:15" x14ac:dyDescent="0.3">
      <c r="E18" s="65"/>
      <c r="F18" s="40"/>
      <c r="N18" s="40"/>
      <c r="O18" s="40"/>
    </row>
    <row r="19" spans="1:15" x14ac:dyDescent="0.3">
      <c r="A19" s="112" t="s">
        <v>81</v>
      </c>
      <c r="B19" s="112"/>
      <c r="C19" s="112"/>
      <c r="D19" s="112"/>
      <c r="E19" s="112"/>
      <c r="F19" s="112"/>
    </row>
    <row r="20" spans="1:15" x14ac:dyDescent="0.3">
      <c r="A20" s="116" t="s">
        <v>80</v>
      </c>
      <c r="B20" s="116"/>
      <c r="C20" s="116"/>
      <c r="D20" s="116"/>
      <c r="E20" s="116"/>
      <c r="F20" s="116"/>
    </row>
    <row r="21" spans="1:15" x14ac:dyDescent="0.3">
      <c r="A21" s="109" t="s">
        <v>77</v>
      </c>
      <c r="B21" s="109"/>
      <c r="C21" s="109"/>
      <c r="D21" s="109"/>
      <c r="E21" s="109"/>
      <c r="F21" s="109"/>
    </row>
    <row r="22" spans="1:15" x14ac:dyDescent="0.3">
      <c r="A22" s="110" t="s">
        <v>78</v>
      </c>
      <c r="B22" s="110"/>
      <c r="C22" s="110"/>
      <c r="D22" s="110"/>
      <c r="E22" s="110"/>
      <c r="F22" s="110"/>
    </row>
    <row r="23" spans="1:15" x14ac:dyDescent="0.3">
      <c r="A23" s="111" t="s">
        <v>79</v>
      </c>
      <c r="B23" s="111"/>
      <c r="C23" s="111"/>
      <c r="D23" s="111"/>
      <c r="E23" s="111"/>
      <c r="F23" s="111"/>
    </row>
    <row r="25" spans="1:15" x14ac:dyDescent="0.3">
      <c r="E25" s="106" t="s">
        <v>82</v>
      </c>
      <c r="F25" s="106"/>
      <c r="G25" s="106"/>
      <c r="H25" s="106"/>
      <c r="I25" s="106"/>
      <c r="J25" s="106"/>
      <c r="K25" s="106"/>
      <c r="L25" s="106"/>
      <c r="M25" s="106"/>
    </row>
    <row r="27" spans="1:15" x14ac:dyDescent="0.3">
      <c r="G27" s="113" t="s">
        <v>26</v>
      </c>
      <c r="H27" s="113"/>
      <c r="I27" s="113"/>
      <c r="J27" s="113"/>
      <c r="K27" s="113"/>
      <c r="L27" s="113"/>
      <c r="M27" s="113"/>
    </row>
    <row r="28" spans="1:15" ht="16.2" thickBot="1" x14ac:dyDescent="0.35">
      <c r="E28" s="64" t="s">
        <v>76</v>
      </c>
      <c r="F28" s="40">
        <f>Profit</f>
        <v>571428</v>
      </c>
      <c r="G28" s="54">
        <v>780</v>
      </c>
      <c r="H28" s="54">
        <v>500</v>
      </c>
      <c r="I28" s="54">
        <v>1000</v>
      </c>
      <c r="J28" s="54">
        <v>879</v>
      </c>
      <c r="K28" s="54">
        <v>450</v>
      </c>
      <c r="L28" s="54">
        <v>1237</v>
      </c>
      <c r="M28" s="54">
        <v>970</v>
      </c>
    </row>
    <row r="29" spans="1:15" x14ac:dyDescent="0.3">
      <c r="A29" s="107" t="s">
        <v>83</v>
      </c>
      <c r="B29" s="107"/>
      <c r="C29" s="107"/>
      <c r="E29" s="114" t="s">
        <v>27</v>
      </c>
      <c r="F29" s="63">
        <v>699</v>
      </c>
      <c r="G29" s="55">
        <v>479793.6</v>
      </c>
      <c r="H29" s="56">
        <v>307560</v>
      </c>
      <c r="I29" s="56">
        <v>615120</v>
      </c>
      <c r="J29" s="56">
        <v>540690.48</v>
      </c>
      <c r="K29" s="56">
        <v>276804</v>
      </c>
      <c r="L29" s="56">
        <v>760903.44</v>
      </c>
      <c r="M29" s="57">
        <v>596666.4</v>
      </c>
      <c r="N29" s="104" t="s">
        <v>65</v>
      </c>
      <c r="O29" s="105"/>
    </row>
    <row r="30" spans="1:15" x14ac:dyDescent="0.3">
      <c r="A30" s="107" t="s">
        <v>84</v>
      </c>
      <c r="B30" s="107"/>
      <c r="C30" s="107"/>
      <c r="E30" s="114"/>
      <c r="F30" s="63">
        <v>1299</v>
      </c>
      <c r="G30" s="58">
        <v>891633.6</v>
      </c>
      <c r="H30" s="53">
        <v>571560</v>
      </c>
      <c r="I30" s="53">
        <v>1143120</v>
      </c>
      <c r="J30" s="53">
        <v>1004802.48</v>
      </c>
      <c r="K30" s="53">
        <v>514404</v>
      </c>
      <c r="L30" s="53">
        <v>1414039.44</v>
      </c>
      <c r="M30" s="59">
        <v>1108826.3999999999</v>
      </c>
      <c r="N30" s="104"/>
      <c r="O30" s="105"/>
    </row>
    <row r="31" spans="1:15" x14ac:dyDescent="0.3">
      <c r="A31" s="107" t="s">
        <v>85</v>
      </c>
      <c r="B31" s="107"/>
      <c r="C31" s="107"/>
      <c r="E31" s="114"/>
      <c r="F31" s="63">
        <v>499</v>
      </c>
      <c r="G31" s="58">
        <v>342513.6</v>
      </c>
      <c r="H31" s="53">
        <v>219560</v>
      </c>
      <c r="I31" s="53">
        <v>439120</v>
      </c>
      <c r="J31" s="53">
        <v>385986.48</v>
      </c>
      <c r="K31" s="53">
        <v>197604</v>
      </c>
      <c r="L31" s="53">
        <v>543191.43999999994</v>
      </c>
      <c r="M31" s="59">
        <v>425946.4</v>
      </c>
      <c r="N31" s="104"/>
      <c r="O31" s="105"/>
    </row>
    <row r="32" spans="1:15" x14ac:dyDescent="0.3">
      <c r="A32" s="108"/>
      <c r="B32" s="108"/>
      <c r="C32" s="108"/>
      <c r="E32" s="114"/>
      <c r="F32" s="63">
        <v>999</v>
      </c>
      <c r="G32" s="58">
        <v>685713.6</v>
      </c>
      <c r="H32" s="53">
        <v>439560</v>
      </c>
      <c r="I32" s="53">
        <v>879120</v>
      </c>
      <c r="J32" s="53">
        <v>772746.48</v>
      </c>
      <c r="K32" s="53">
        <v>395604</v>
      </c>
      <c r="L32" s="53">
        <v>1087471.44</v>
      </c>
      <c r="M32" s="59">
        <v>852746.4</v>
      </c>
      <c r="N32" s="104"/>
      <c r="O32" s="105"/>
    </row>
    <row r="33" spans="1:15" x14ac:dyDescent="0.3">
      <c r="E33" s="114"/>
      <c r="F33" s="63">
        <v>2390</v>
      </c>
      <c r="G33" s="58">
        <v>1640496</v>
      </c>
      <c r="H33" s="53">
        <v>1051600</v>
      </c>
      <c r="I33" s="53">
        <v>2103200</v>
      </c>
      <c r="J33" s="53">
        <v>1848712.8</v>
      </c>
      <c r="K33" s="53">
        <v>946440</v>
      </c>
      <c r="L33" s="53">
        <v>2601658.4</v>
      </c>
      <c r="M33" s="59">
        <v>2040104</v>
      </c>
      <c r="N33" s="104"/>
      <c r="O33" s="105"/>
    </row>
    <row r="34" spans="1:15" ht="16.2" thickBot="1" x14ac:dyDescent="0.35">
      <c r="E34" s="114"/>
      <c r="F34" s="63">
        <v>1460</v>
      </c>
      <c r="G34" s="60">
        <v>1002144</v>
      </c>
      <c r="H34" s="61">
        <v>642400</v>
      </c>
      <c r="I34" s="61">
        <v>1284800</v>
      </c>
      <c r="J34" s="61">
        <v>1129339.2</v>
      </c>
      <c r="K34" s="61">
        <v>578160</v>
      </c>
      <c r="L34" s="61">
        <v>1589297.6</v>
      </c>
      <c r="M34" s="62">
        <v>1246256</v>
      </c>
      <c r="N34" s="104"/>
      <c r="O34" s="105"/>
    </row>
    <row r="36" spans="1:15" ht="17.399999999999999" x14ac:dyDescent="0.3">
      <c r="A36" s="118" t="s">
        <v>88</v>
      </c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</row>
    <row r="38" spans="1:15" ht="17.399999999999999" x14ac:dyDescent="0.3">
      <c r="G38" s="120" t="s">
        <v>90</v>
      </c>
      <c r="H38" s="120"/>
      <c r="I38" s="120"/>
      <c r="J38" s="120"/>
      <c r="K38" s="120"/>
      <c r="L38" s="120"/>
      <c r="M38" s="120"/>
      <c r="N38" s="120"/>
    </row>
    <row r="39" spans="1:15" ht="16.2" thickBot="1" x14ac:dyDescent="0.35">
      <c r="A39" s="89" t="s">
        <v>54</v>
      </c>
      <c r="B39" s="89"/>
      <c r="E39" s="123" t="s">
        <v>87</v>
      </c>
      <c r="F39" s="124">
        <f>B46</f>
        <v>32820</v>
      </c>
      <c r="G39" s="122">
        <v>7500</v>
      </c>
      <c r="H39" s="122">
        <v>7650</v>
      </c>
      <c r="I39" s="122">
        <v>8210</v>
      </c>
      <c r="J39" s="122">
        <v>9500</v>
      </c>
      <c r="K39" s="122">
        <v>9100</v>
      </c>
      <c r="L39" s="122">
        <v>9540</v>
      </c>
      <c r="M39" s="122">
        <v>10560</v>
      </c>
      <c r="N39" s="122">
        <v>13900</v>
      </c>
    </row>
    <row r="40" spans="1:15" x14ac:dyDescent="0.3">
      <c r="A40" s="35" t="s">
        <v>45</v>
      </c>
      <c r="B40" s="5">
        <v>12000</v>
      </c>
      <c r="E40" s="121" t="s">
        <v>89</v>
      </c>
      <c r="F40" s="122">
        <v>5320</v>
      </c>
      <c r="G40" s="55">
        <f t="dataTable" ref="G40:N48" dt2D="1" dtr="1" r1="B43" r2="B41"/>
        <v>32820</v>
      </c>
      <c r="H40" s="56">
        <v>32970</v>
      </c>
      <c r="I40" s="56">
        <v>33530</v>
      </c>
      <c r="J40" s="56">
        <v>34820</v>
      </c>
      <c r="K40" s="56">
        <v>34420</v>
      </c>
      <c r="L40" s="56">
        <v>34860</v>
      </c>
      <c r="M40" s="56">
        <v>35880</v>
      </c>
      <c r="N40" s="57">
        <v>39220</v>
      </c>
    </row>
    <row r="41" spans="1:15" x14ac:dyDescent="0.3">
      <c r="A41" s="35" t="s">
        <v>46</v>
      </c>
      <c r="B41" s="5">
        <v>7500</v>
      </c>
      <c r="E41" s="121"/>
      <c r="F41" s="122">
        <v>6150</v>
      </c>
      <c r="G41" s="58">
        <v>33650</v>
      </c>
      <c r="H41" s="53">
        <v>33800</v>
      </c>
      <c r="I41" s="53">
        <v>34360</v>
      </c>
      <c r="J41" s="53">
        <v>35650</v>
      </c>
      <c r="K41" s="53">
        <v>35250</v>
      </c>
      <c r="L41" s="53">
        <v>35690</v>
      </c>
      <c r="M41" s="53">
        <v>36710</v>
      </c>
      <c r="N41" s="59">
        <v>40050</v>
      </c>
    </row>
    <row r="42" spans="1:15" x14ac:dyDescent="0.3">
      <c r="A42" s="35" t="s">
        <v>47</v>
      </c>
      <c r="B42" s="5">
        <v>4500</v>
      </c>
      <c r="E42" s="121"/>
      <c r="F42" s="122">
        <v>7500</v>
      </c>
      <c r="G42" s="58">
        <v>35000</v>
      </c>
      <c r="H42" s="53">
        <v>35150</v>
      </c>
      <c r="I42" s="53">
        <v>35710</v>
      </c>
      <c r="J42" s="53">
        <v>37000</v>
      </c>
      <c r="K42" s="53">
        <v>36600</v>
      </c>
      <c r="L42" s="53">
        <v>37040</v>
      </c>
      <c r="M42" s="53">
        <v>38060</v>
      </c>
      <c r="N42" s="59">
        <v>41400</v>
      </c>
    </row>
    <row r="43" spans="1:15" x14ac:dyDescent="0.3">
      <c r="A43" s="35" t="s">
        <v>48</v>
      </c>
      <c r="B43" s="5">
        <v>5320</v>
      </c>
      <c r="E43" s="121"/>
      <c r="F43" s="122">
        <v>8000</v>
      </c>
      <c r="G43" s="58">
        <v>35500</v>
      </c>
      <c r="H43" s="53">
        <v>35650</v>
      </c>
      <c r="I43" s="53">
        <v>36210</v>
      </c>
      <c r="J43" s="53">
        <v>37500</v>
      </c>
      <c r="K43" s="53">
        <v>37100</v>
      </c>
      <c r="L43" s="53">
        <v>37540</v>
      </c>
      <c r="M43" s="53">
        <v>38560</v>
      </c>
      <c r="N43" s="59">
        <v>41900</v>
      </c>
    </row>
    <row r="44" spans="1:15" x14ac:dyDescent="0.3">
      <c r="A44" s="35" t="s">
        <v>49</v>
      </c>
      <c r="B44" s="5">
        <v>3500</v>
      </c>
      <c r="E44" s="121"/>
      <c r="F44" s="122">
        <v>8290</v>
      </c>
      <c r="G44" s="58">
        <v>35790</v>
      </c>
      <c r="H44" s="53">
        <v>35940</v>
      </c>
      <c r="I44" s="53">
        <v>36500</v>
      </c>
      <c r="J44" s="53">
        <v>37790</v>
      </c>
      <c r="K44" s="53">
        <v>37390</v>
      </c>
      <c r="L44" s="53">
        <v>37830</v>
      </c>
      <c r="M44" s="53">
        <v>38850</v>
      </c>
      <c r="N44" s="59">
        <v>42190</v>
      </c>
    </row>
    <row r="45" spans="1:15" x14ac:dyDescent="0.3">
      <c r="A45" s="36"/>
      <c r="B45" s="5"/>
      <c r="E45" s="121"/>
      <c r="F45" s="122">
        <v>8700</v>
      </c>
      <c r="G45" s="58">
        <v>36200</v>
      </c>
      <c r="H45" s="53">
        <v>36350</v>
      </c>
      <c r="I45" s="53">
        <v>36910</v>
      </c>
      <c r="J45" s="53">
        <v>38200</v>
      </c>
      <c r="K45" s="53">
        <v>37800</v>
      </c>
      <c r="L45" s="53">
        <v>38240</v>
      </c>
      <c r="M45" s="53">
        <v>39260</v>
      </c>
      <c r="N45" s="59">
        <v>42600</v>
      </c>
    </row>
    <row r="46" spans="1:15" x14ac:dyDescent="0.3">
      <c r="A46" s="37" t="s">
        <v>50</v>
      </c>
      <c r="B46" s="38">
        <f>SUM(B40:B44)</f>
        <v>32820</v>
      </c>
      <c r="E46" s="121"/>
      <c r="F46" s="122">
        <v>9000</v>
      </c>
      <c r="G46" s="58">
        <v>36500</v>
      </c>
      <c r="H46" s="53">
        <v>36650</v>
      </c>
      <c r="I46" s="53">
        <v>37210</v>
      </c>
      <c r="J46" s="53">
        <v>38500</v>
      </c>
      <c r="K46" s="53">
        <v>38100</v>
      </c>
      <c r="L46" s="53">
        <v>38540</v>
      </c>
      <c r="M46" s="53">
        <v>39560</v>
      </c>
      <c r="N46" s="59">
        <v>42900</v>
      </c>
    </row>
    <row r="47" spans="1:15" x14ac:dyDescent="0.3">
      <c r="E47" s="121"/>
      <c r="F47" s="122">
        <v>9200</v>
      </c>
      <c r="G47" s="58">
        <v>36700</v>
      </c>
      <c r="H47" s="53">
        <v>36850</v>
      </c>
      <c r="I47" s="53">
        <v>37410</v>
      </c>
      <c r="J47" s="53">
        <v>38700</v>
      </c>
      <c r="K47" s="53">
        <v>38300</v>
      </c>
      <c r="L47" s="53">
        <v>38740</v>
      </c>
      <c r="M47" s="53">
        <v>39760</v>
      </c>
      <c r="N47" s="59">
        <v>43100</v>
      </c>
    </row>
    <row r="48" spans="1:15" ht="16.2" thickBot="1" x14ac:dyDescent="0.35">
      <c r="E48" s="121"/>
      <c r="F48" s="122">
        <v>9500</v>
      </c>
      <c r="G48" s="60">
        <v>37000</v>
      </c>
      <c r="H48" s="61">
        <v>37150</v>
      </c>
      <c r="I48" s="61">
        <v>37710</v>
      </c>
      <c r="J48" s="61">
        <v>39000</v>
      </c>
      <c r="K48" s="61">
        <v>38600</v>
      </c>
      <c r="L48" s="61">
        <v>39040</v>
      </c>
      <c r="M48" s="61">
        <v>40060</v>
      </c>
      <c r="N48" s="62">
        <v>43400</v>
      </c>
    </row>
    <row r="49" spans="1:2" x14ac:dyDescent="0.3">
      <c r="A49" s="117" t="s">
        <v>86</v>
      </c>
      <c r="B49" s="117">
        <v>46000</v>
      </c>
    </row>
  </sheetData>
  <mergeCells count="21">
    <mergeCell ref="E40:E48"/>
    <mergeCell ref="A36:L36"/>
    <mergeCell ref="A39:B39"/>
    <mergeCell ref="G38:N38"/>
    <mergeCell ref="G10:M10"/>
    <mergeCell ref="E12:E17"/>
    <mergeCell ref="N12:O17"/>
    <mergeCell ref="B1:F1"/>
    <mergeCell ref="A20:F20"/>
    <mergeCell ref="A21:F21"/>
    <mergeCell ref="A22:F22"/>
    <mergeCell ref="A23:F23"/>
    <mergeCell ref="A19:F19"/>
    <mergeCell ref="G27:M27"/>
    <mergeCell ref="N29:O34"/>
    <mergeCell ref="E25:M25"/>
    <mergeCell ref="A29:C29"/>
    <mergeCell ref="A30:C30"/>
    <mergeCell ref="A31:C31"/>
    <mergeCell ref="A32:C32"/>
    <mergeCell ref="E29:E34"/>
  </mergeCells>
  <conditionalFormatting sqref="G29:M34">
    <cfRule type="cellIs" dxfId="0" priority="1" operator="greaterThan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Scenario Manager</vt:lpstr>
      <vt:lpstr>Scenario Summary</vt:lpstr>
      <vt:lpstr>Scenario Summary 2</vt:lpstr>
      <vt:lpstr>Goal Seek</vt:lpstr>
      <vt:lpstr>Data Table</vt:lpstr>
      <vt:lpstr>Price</vt:lpstr>
      <vt:lpstr>Profit</vt:lpstr>
      <vt:lpstr>Quantity</vt:lpstr>
      <vt:lpstr>Total_Profit</vt:lpstr>
      <vt:lpstr>Total_Salary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Jaiswal</dc:creator>
  <cp:lastModifiedBy>Aryan Jaiswal</cp:lastModifiedBy>
  <dcterms:created xsi:type="dcterms:W3CDTF">2025-11-26T10:04:33Z</dcterms:created>
  <dcterms:modified xsi:type="dcterms:W3CDTF">2025-11-27T07:47:54Z</dcterms:modified>
</cp:coreProperties>
</file>