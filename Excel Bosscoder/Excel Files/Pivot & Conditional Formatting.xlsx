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2.xml" ContentType="application/vnd.ms-excel.slicer+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riha\Desktop\Excel Bosscoder\"/>
    </mc:Choice>
  </mc:AlternateContent>
  <xr:revisionPtr revIDLastSave="0" documentId="13_ncr:1_{F99DF1B4-22E6-4EDF-90D1-9993C7439450}" xr6:coauthVersionLast="47" xr6:coauthVersionMax="47" xr10:uidLastSave="{00000000-0000-0000-0000-000000000000}"/>
  <bookViews>
    <workbookView xWindow="-108" yWindow="-108" windowWidth="23256" windowHeight="12456" tabRatio="495" activeTab="4" xr2:uid="{FC40CBF9-5963-45C8-91ED-7C3A4D5A1CE2}"/>
  </bookViews>
  <sheets>
    <sheet name="Pivot Table" sheetId="10" r:id="rId1"/>
    <sheet name="Main Data" sheetId="4" r:id="rId2"/>
    <sheet name="Conditional Formatting" sheetId="12" r:id="rId3"/>
    <sheet name="Sheet1" sheetId="13" r:id="rId4"/>
    <sheet name="Sheet2" sheetId="14" r:id="rId5"/>
  </sheets>
  <definedNames>
    <definedName name="_xlnm._FilterDatabase" localSheetId="1" hidden="1">'Main Data'!$B$3:$G$152</definedName>
    <definedName name="_xlnm._FilterDatabase" localSheetId="3" hidden="1">Sheet1!$B$5:$I$5</definedName>
    <definedName name="_xlnm.Criteria" localSheetId="1">'Main Data'!#REF!</definedName>
    <definedName name="_xlnm.Extract" localSheetId="1">'Main Data'!#REF!</definedName>
    <definedName name="Slicer_Industry">#N/A</definedName>
    <definedName name="Slicer_Industry1">#N/A</definedName>
    <definedName name="Slicer_Relationship_Manager">#N/A</definedName>
    <definedName name="Slicer_Relationship_Manager1">#N/A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9"/>
        <x14:slicerCache r:id="rId10"/>
      </x15:slicerCache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48" i="14" l="1"/>
  <c r="D47" i="14"/>
  <c r="D46" i="14"/>
  <c r="D45" i="14"/>
  <c r="D44" i="14"/>
  <c r="L19" i="14"/>
  <c r="L18" i="14"/>
  <c r="L17" i="14"/>
  <c r="L16" i="14"/>
  <c r="L15" i="14"/>
  <c r="K5" i="12"/>
  <c r="I5" i="12"/>
</calcChain>
</file>

<file path=xl/sharedStrings.xml><?xml version="1.0" encoding="utf-8"?>
<sst xmlns="http://schemas.openxmlformats.org/spreadsheetml/2006/main" count="1583" uniqueCount="430">
  <si>
    <t>ACC Ltd.</t>
  </si>
  <si>
    <t>AU Small Finance Bank Ltd.</t>
  </si>
  <si>
    <t>Aarti Industries Ltd.</t>
  </si>
  <si>
    <t>Abbott India Ltd.</t>
  </si>
  <si>
    <t>Adani Enterprises Ltd.</t>
  </si>
  <si>
    <t>Adani Gas Ltd.</t>
  </si>
  <si>
    <t>Adani Green Energy Ltd.</t>
  </si>
  <si>
    <t>Adani Ports and Special Economic Zone Ltd.</t>
  </si>
  <si>
    <t>Adani Transmission Ltd.</t>
  </si>
  <si>
    <t>Aditya Birla Capital Ltd.</t>
  </si>
  <si>
    <t>Aditya Birla Fashion and Retail Ltd.</t>
  </si>
  <si>
    <t>Ajanta Pharmaceuticals Ltd.</t>
  </si>
  <si>
    <t>Alembic Pharmaceuticals Ltd.</t>
  </si>
  <si>
    <t>Alkem Laboratories Ltd.</t>
  </si>
  <si>
    <t>Amara Raja Batteries Ltd.</t>
  </si>
  <si>
    <t>Ambuja Cements Ltd.</t>
  </si>
  <si>
    <t>Apollo Hospitals Enterprise Ltd.</t>
  </si>
  <si>
    <t>Apollo Tyres Ltd.</t>
  </si>
  <si>
    <t>Ashok Leyland Ltd.</t>
  </si>
  <si>
    <t>Asian Paints Ltd.</t>
  </si>
  <si>
    <t>Aurobindo Pharma Ltd.</t>
  </si>
  <si>
    <t>Avenue Supermarts Ltd.</t>
  </si>
  <si>
    <t>Axis Bank Ltd.</t>
  </si>
  <si>
    <t>Bajaj Auto Ltd.</t>
  </si>
  <si>
    <t>Bajaj Finance Ltd.</t>
  </si>
  <si>
    <t>Bajaj Finserv Ltd.</t>
  </si>
  <si>
    <t>Bajaj Holdings &amp; Investment Ltd.</t>
  </si>
  <si>
    <t>Balkrishna Industries Ltd.</t>
  </si>
  <si>
    <t>Bandhan Bank Ltd.</t>
  </si>
  <si>
    <t>Bank of Baroda</t>
  </si>
  <si>
    <t>Bank of India</t>
  </si>
  <si>
    <t>Bata India Ltd.</t>
  </si>
  <si>
    <t>Berger Paints India Ltd.</t>
  </si>
  <si>
    <t>Bharat Electronics Ltd.</t>
  </si>
  <si>
    <t>Bharat Forge Ltd.</t>
  </si>
  <si>
    <t>Bharat Heavy Electricals Ltd.</t>
  </si>
  <si>
    <t>Bharat Petroleum Corporation Ltd.</t>
  </si>
  <si>
    <t>Bharti Airtel Ltd.</t>
  </si>
  <si>
    <t>Bharti Infratel Ltd.</t>
  </si>
  <si>
    <t>Biocon Ltd.</t>
  </si>
  <si>
    <t>Bombay Burmah Trading Corporation Ltd.</t>
  </si>
  <si>
    <t>Bosch Ltd.</t>
  </si>
  <si>
    <t>Britannia Industries Ltd.</t>
  </si>
  <si>
    <t>CESC Ltd.</t>
  </si>
  <si>
    <t>Cadila Healthcare Ltd.</t>
  </si>
  <si>
    <t>Canara Bank</t>
  </si>
  <si>
    <t>Castrol India Ltd.</t>
  </si>
  <si>
    <t>Cholamandalam Investment and Finance Company Ltd.</t>
  </si>
  <si>
    <t>Cipla Ltd.</t>
  </si>
  <si>
    <t>City Union Bank Ltd.</t>
  </si>
  <si>
    <t>Coal India Ltd.</t>
  </si>
  <si>
    <t>Coforge Ltd.</t>
  </si>
  <si>
    <t>Colgate Palmolive (India) Ltd.</t>
  </si>
  <si>
    <t>Container Corporation of India Ltd.</t>
  </si>
  <si>
    <t>Coromandel International Ltd.</t>
  </si>
  <si>
    <t>Crompton Greaves Consumer Electricals Ltd.</t>
  </si>
  <si>
    <t>Cummins India Ltd.</t>
  </si>
  <si>
    <t>DLF Ltd.</t>
  </si>
  <si>
    <t>Dabur India Ltd.</t>
  </si>
  <si>
    <t>Dalmia Bharat Ltd.</t>
  </si>
  <si>
    <t>Divi's Laboratories Ltd.</t>
  </si>
  <si>
    <t>Dr. Lal Path Labs Ltd.</t>
  </si>
  <si>
    <t>Dr. Reddy's Laboratories Ltd.</t>
  </si>
  <si>
    <t>Edelweiss Financial Services Ltd.</t>
  </si>
  <si>
    <t>Eicher Motors Ltd.</t>
  </si>
  <si>
    <t>Emami Ltd.</t>
  </si>
  <si>
    <t>Endurance Technologies Ltd.</t>
  </si>
  <si>
    <t>Escorts Ltd.</t>
  </si>
  <si>
    <t>Exide Industries Ltd.</t>
  </si>
  <si>
    <t>Federal Bank Ltd.</t>
  </si>
  <si>
    <t>Fortis Healthcare Ltd.</t>
  </si>
  <si>
    <t>Future Retail Ltd.</t>
  </si>
  <si>
    <t>GAIL (India) Ltd.</t>
  </si>
  <si>
    <t>GMR Infrastructure Ltd.</t>
  </si>
  <si>
    <t>General Insurance Corporation of India</t>
  </si>
  <si>
    <t>Glenmark Pharmaceuticals Ltd.</t>
  </si>
  <si>
    <t>Godrej Agrovet Ltd.</t>
  </si>
  <si>
    <t>Godrej Consumer Products Ltd.</t>
  </si>
  <si>
    <t>Godrej Industries Ltd.</t>
  </si>
  <si>
    <t>Godrej Properties Ltd.</t>
  </si>
  <si>
    <t>Grasim Industries Ltd.</t>
  </si>
  <si>
    <t>Gujarat Gas Ltd.</t>
  </si>
  <si>
    <t>Gujarat State Petronet Ltd.</t>
  </si>
  <si>
    <t>HCL Technologies Ltd.</t>
  </si>
  <si>
    <t>HDFC Asset Management Company Ltd.</t>
  </si>
  <si>
    <t>HDFC Bank Ltd.</t>
  </si>
  <si>
    <t>HDFC Life Insurance Company Ltd.</t>
  </si>
  <si>
    <t>Havells India Ltd.</t>
  </si>
  <si>
    <t>Hero MotoCorp Ltd.</t>
  </si>
  <si>
    <t>Hindalco Industries Ltd.</t>
  </si>
  <si>
    <t>Hindustan Petroleum Corporation Ltd.</t>
  </si>
  <si>
    <t>Hindustan Unilever Ltd.</t>
  </si>
  <si>
    <t>Hindustan Zinc Ltd.</t>
  </si>
  <si>
    <t>Housing &amp; Urban Development Corporation Ltd.</t>
  </si>
  <si>
    <t>Housing Development Finance Corporation Ltd.</t>
  </si>
  <si>
    <t>ICICI Bank Ltd.</t>
  </si>
  <si>
    <t>ICICI Lombard General Insurance Company Ltd.</t>
  </si>
  <si>
    <t>ICICI Prudential Life Insurance Company Ltd.</t>
  </si>
  <si>
    <t>ICICI Securities Ltd.</t>
  </si>
  <si>
    <t>IDFC First Bank Ltd.</t>
  </si>
  <si>
    <t>ITC Ltd.</t>
  </si>
  <si>
    <t>Indiabulls Housing Finance Ltd.</t>
  </si>
  <si>
    <t>Indiabulls Ventures Ltd.</t>
  </si>
  <si>
    <t>Indian Hotels Co. Ltd.</t>
  </si>
  <si>
    <t>Indian Oil Corporation Ltd.</t>
  </si>
  <si>
    <t>Indian Railway Catering And Tourism Corporation Ltd.</t>
  </si>
  <si>
    <t>Indraprastha Gas Ltd.</t>
  </si>
  <si>
    <t>IndusInd Bank Ltd.</t>
  </si>
  <si>
    <t>Info Edge (India) Ltd.</t>
  </si>
  <si>
    <t>Infosys Ltd.</t>
  </si>
  <si>
    <t>InterGlobe Aviation Ltd.</t>
  </si>
  <si>
    <t>Ipca Laboratories Ltd.</t>
  </si>
  <si>
    <t>JSW Energy Ltd.</t>
  </si>
  <si>
    <t>JSW Steel Ltd.</t>
  </si>
  <si>
    <t>Jindal Steel &amp; Power Ltd.</t>
  </si>
  <si>
    <t>Jubilant Foodworks Ltd.</t>
  </si>
  <si>
    <t>Kotak Mahindra Bank Ltd.</t>
  </si>
  <si>
    <t>L&amp;T Finance Holdings Ltd.</t>
  </si>
  <si>
    <t>L&amp;T Technology Services Ltd.</t>
  </si>
  <si>
    <t>LIC Housing Finance Ltd.</t>
  </si>
  <si>
    <t>Larsen &amp; Toubro Infotech Ltd.</t>
  </si>
  <si>
    <t>Larsen &amp; Toubro Ltd.</t>
  </si>
  <si>
    <t>Lupin Ltd.</t>
  </si>
  <si>
    <t>MRF Ltd.</t>
  </si>
  <si>
    <t>Mahanagar Gas Ltd.</t>
  </si>
  <si>
    <t>Mahindra &amp; Mahindra Financial Services Ltd.</t>
  </si>
  <si>
    <t>Mahindra &amp; Mahindra Ltd.</t>
  </si>
  <si>
    <t>Manappuram Finance Ltd.</t>
  </si>
  <si>
    <t>Marico Ltd.</t>
  </si>
  <si>
    <t>Maruti Suzuki India Ltd.</t>
  </si>
  <si>
    <t>Max Financial Services Ltd.</t>
  </si>
  <si>
    <t>MindTree Ltd.</t>
  </si>
  <si>
    <t>Motherson Sumi Systems Ltd.</t>
  </si>
  <si>
    <t>MphasiS Ltd.</t>
  </si>
  <si>
    <t>Muthoot Finance Ltd.</t>
  </si>
  <si>
    <t>NATCO Pharma Ltd.</t>
  </si>
  <si>
    <t>NMDC Ltd.</t>
  </si>
  <si>
    <t>NTPC Ltd.</t>
  </si>
  <si>
    <t>National Aluminium Co. Ltd.</t>
  </si>
  <si>
    <t>Navin Fluorine International Ltd.</t>
  </si>
  <si>
    <t>Nestle India Ltd.</t>
  </si>
  <si>
    <t>Nippon Life India Asset Management Ltd.</t>
  </si>
  <si>
    <t>Oberoi Realty Ltd.</t>
  </si>
  <si>
    <t>Oil &amp; Natural Gas Corporation Ltd.</t>
  </si>
  <si>
    <t>Oil India Ltd.</t>
  </si>
  <si>
    <t>Oracle Financial Services Software Ltd.</t>
  </si>
  <si>
    <t>PI Industries Ltd.</t>
  </si>
  <si>
    <t>Page Industries Ltd.</t>
  </si>
  <si>
    <t>Petronet LNG Ltd.</t>
  </si>
  <si>
    <t>Industry</t>
  </si>
  <si>
    <t>CEMENT &amp; CEMENT PRODUCTS</t>
  </si>
  <si>
    <t>FINANCIAL SERVICES</t>
  </si>
  <si>
    <t>CHEMICALS</t>
  </si>
  <si>
    <t>PHARMA</t>
  </si>
  <si>
    <t>SERVICES</t>
  </si>
  <si>
    <t>OIL &amp; GAS</t>
  </si>
  <si>
    <t>POWER</t>
  </si>
  <si>
    <t>CONSUMER GOODS</t>
  </si>
  <si>
    <t>AUTOMOBILE</t>
  </si>
  <si>
    <t>HEALTHCARE SERVICES</t>
  </si>
  <si>
    <t>INDUSTRIAL MANUFACTURING</t>
  </si>
  <si>
    <t>TELECOM</t>
  </si>
  <si>
    <t>METALS</t>
  </si>
  <si>
    <t>IT</t>
  </si>
  <si>
    <t>FERTILISERS &amp; PESTICIDES</t>
  </si>
  <si>
    <t>CONSTRUCTION</t>
  </si>
  <si>
    <t>TEXTILES</t>
  </si>
  <si>
    <t>ISIN Code</t>
  </si>
  <si>
    <t>INE012A01025</t>
  </si>
  <si>
    <t>INE949L01017</t>
  </si>
  <si>
    <t>INE769A01020</t>
  </si>
  <si>
    <t>INE358A01014</t>
  </si>
  <si>
    <t>INE423A01024</t>
  </si>
  <si>
    <t>INE399L01023</t>
  </si>
  <si>
    <t>INE364U01010</t>
  </si>
  <si>
    <t>INE742F01042</t>
  </si>
  <si>
    <t>INE931S01010</t>
  </si>
  <si>
    <t>INE674K01013</t>
  </si>
  <si>
    <t>INE647O01011</t>
  </si>
  <si>
    <t>INE031B01049</t>
  </si>
  <si>
    <t>INE901L01018</t>
  </si>
  <si>
    <t>INE540L01014</t>
  </si>
  <si>
    <t>INE885A01032</t>
  </si>
  <si>
    <t>INE079A01024</t>
  </si>
  <si>
    <t>INE437A01024</t>
  </si>
  <si>
    <t>INE438A01022</t>
  </si>
  <si>
    <t>INE208A01029</t>
  </si>
  <si>
    <t>INE021A01026</t>
  </si>
  <si>
    <t>INE406A01037</t>
  </si>
  <si>
    <t>INE192R01011</t>
  </si>
  <si>
    <t>INE238A01034</t>
  </si>
  <si>
    <t>INE917I01010</t>
  </si>
  <si>
    <t>INE296A01024</t>
  </si>
  <si>
    <t>INE918I01018</t>
  </si>
  <si>
    <t>INE118A01012</t>
  </si>
  <si>
    <t>INE787D01026</t>
  </si>
  <si>
    <t>INE545U01014</t>
  </si>
  <si>
    <t>INE028A01039</t>
  </si>
  <si>
    <t>INE084A01016</t>
  </si>
  <si>
    <t>INE176A01028</t>
  </si>
  <si>
    <t>INE463A01038</t>
  </si>
  <si>
    <t>INE263A01024</t>
  </si>
  <si>
    <t>INE465A01025</t>
  </si>
  <si>
    <t>INE257A01026</t>
  </si>
  <si>
    <t>INE029A01011</t>
  </si>
  <si>
    <t>INE397D01024</t>
  </si>
  <si>
    <t>INE121J01017</t>
  </si>
  <si>
    <t>INE376G01013</t>
  </si>
  <si>
    <t>INE050A01025</t>
  </si>
  <si>
    <t>INE323A01026</t>
  </si>
  <si>
    <t>INE216A01030</t>
  </si>
  <si>
    <t>INE486A01013</t>
  </si>
  <si>
    <t>INE010B01027</t>
  </si>
  <si>
    <t>INE476A01014</t>
  </si>
  <si>
    <t>INE172A01027</t>
  </si>
  <si>
    <t>INE121A01024</t>
  </si>
  <si>
    <t>INE059A01026</t>
  </si>
  <si>
    <t>INE491A01021</t>
  </si>
  <si>
    <t>INE522F01014</t>
  </si>
  <si>
    <t>INE591G01017</t>
  </si>
  <si>
    <t>INE259A01022</t>
  </si>
  <si>
    <t>INE111A01025</t>
  </si>
  <si>
    <t>INE169A01031</t>
  </si>
  <si>
    <t>INE299U01018</t>
  </si>
  <si>
    <t>INE298A01020</t>
  </si>
  <si>
    <t>INE271C01023</t>
  </si>
  <si>
    <t>INE016A01026</t>
  </si>
  <si>
    <t>INE00R701025</t>
  </si>
  <si>
    <t>INE361B01024</t>
  </si>
  <si>
    <t>INE600L01024</t>
  </si>
  <si>
    <t>INE089A01023</t>
  </si>
  <si>
    <t>INE532F01054</t>
  </si>
  <si>
    <t>INE066A01021</t>
  </si>
  <si>
    <t>INE548C01032</t>
  </si>
  <si>
    <t>INE913H01037</t>
  </si>
  <si>
    <t>INE042A01014</t>
  </si>
  <si>
    <t>INE302A01020</t>
  </si>
  <si>
    <t>INE171A01029</t>
  </si>
  <si>
    <t>INE061F01013</t>
  </si>
  <si>
    <t>INE752P01024</t>
  </si>
  <si>
    <t>INE129A01019</t>
  </si>
  <si>
    <t>INE776C01039</t>
  </si>
  <si>
    <t>INE481Y01014</t>
  </si>
  <si>
    <t>INE935A01035</t>
  </si>
  <si>
    <t>INE850D01014</t>
  </si>
  <si>
    <t>INE102D01028</t>
  </si>
  <si>
    <t>INE233A01035</t>
  </si>
  <si>
    <t>INE484J01027</t>
  </si>
  <si>
    <t>INE047A01021</t>
  </si>
  <si>
    <t>INE844O01030</t>
  </si>
  <si>
    <t>INE246F01010</t>
  </si>
  <si>
    <t>INE860A01027</t>
  </si>
  <si>
    <t>INE127D01025</t>
  </si>
  <si>
    <t>INE040A01034</t>
  </si>
  <si>
    <t>INE795G01014</t>
  </si>
  <si>
    <t>INE176B01034</t>
  </si>
  <si>
    <t>INE158A01026</t>
  </si>
  <si>
    <t>INE038A01020</t>
  </si>
  <si>
    <t>INE094A01015</t>
  </si>
  <si>
    <t>INE030A01027</t>
  </si>
  <si>
    <t>INE267A01025</t>
  </si>
  <si>
    <t>INE031A01017</t>
  </si>
  <si>
    <t>INE001A01036</t>
  </si>
  <si>
    <t>INE090A01021</t>
  </si>
  <si>
    <t>INE765G01017</t>
  </si>
  <si>
    <t>INE726G01019</t>
  </si>
  <si>
    <t>INE763G01038</t>
  </si>
  <si>
    <t>INE092T01019</t>
  </si>
  <si>
    <t>INE148I01020</t>
  </si>
  <si>
    <t>INE274G01010</t>
  </si>
  <si>
    <t>INE053A01029</t>
  </si>
  <si>
    <t>INE242A01010</t>
  </si>
  <si>
    <t>INE335Y01012</t>
  </si>
  <si>
    <t>INE203G01027</t>
  </si>
  <si>
    <t>INE095A01012</t>
  </si>
  <si>
    <t>INE663F01024</t>
  </si>
  <si>
    <t>INE009A01021</t>
  </si>
  <si>
    <t>INE646L01027</t>
  </si>
  <si>
    <t>INE571A01020</t>
  </si>
  <si>
    <t>INE121E01018</t>
  </si>
  <si>
    <t>INE019A01038</t>
  </si>
  <si>
    <t>INE749A01030</t>
  </si>
  <si>
    <t>INE797F01012</t>
  </si>
  <si>
    <t>INE237A01028</t>
  </si>
  <si>
    <t>INE498L01015</t>
  </si>
  <si>
    <t>INE010V01017</t>
  </si>
  <si>
    <t>INE115A01026</t>
  </si>
  <si>
    <t>INE214T01019</t>
  </si>
  <si>
    <t>INE018A01030</t>
  </si>
  <si>
    <t>INE883A01011</t>
  </si>
  <si>
    <t>INE002S01010</t>
  </si>
  <si>
    <t>INE774D01024</t>
  </si>
  <si>
    <t>INE101A01026</t>
  </si>
  <si>
    <t>INE522D01027</t>
  </si>
  <si>
    <t>INE196A01026</t>
  </si>
  <si>
    <t>INE585B01010</t>
  </si>
  <si>
    <t>INE180A01020</t>
  </si>
  <si>
    <t>INE018I01017</t>
  </si>
  <si>
    <t>INE775A01035</t>
  </si>
  <si>
    <t>INE356A01018</t>
  </si>
  <si>
    <t>INE414G01012</t>
  </si>
  <si>
    <t>INE987B01026</t>
  </si>
  <si>
    <t>INE584A01023</t>
  </si>
  <si>
    <t>INE733E01010</t>
  </si>
  <si>
    <t>INE139A01034</t>
  </si>
  <si>
    <t>INE048G01026</t>
  </si>
  <si>
    <t>INE239A01016</t>
  </si>
  <si>
    <t>INE298J01013</t>
  </si>
  <si>
    <t>INE093I01010</t>
  </si>
  <si>
    <t>INE213A01029</t>
  </si>
  <si>
    <t>INE274J01014</t>
  </si>
  <si>
    <t>INE881D01027</t>
  </si>
  <si>
    <t>INE603J01030</t>
  </si>
  <si>
    <t>INE761H01022</t>
  </si>
  <si>
    <t>INE347G01014</t>
  </si>
  <si>
    <t>Relationship Manager</t>
  </si>
  <si>
    <t>Number of Factories catered to</t>
  </si>
  <si>
    <t>Revenue from Client</t>
  </si>
  <si>
    <t>Client Name</t>
  </si>
  <si>
    <t>Rohit</t>
  </si>
  <si>
    <t>Raj</t>
  </si>
  <si>
    <t>Dilip</t>
  </si>
  <si>
    <t>Suman</t>
  </si>
  <si>
    <t>Kamal</t>
  </si>
  <si>
    <t>Jawed</t>
  </si>
  <si>
    <t>Salim</t>
  </si>
  <si>
    <t>Sohail</t>
  </si>
  <si>
    <t>Akshay</t>
  </si>
  <si>
    <t>Abhinav Jain</t>
  </si>
  <si>
    <t>Birender</t>
  </si>
  <si>
    <t>Sumit</t>
  </si>
  <si>
    <t>Suneet</t>
  </si>
  <si>
    <t>Parth</t>
  </si>
  <si>
    <t>Ravi</t>
  </si>
  <si>
    <t>Malhan</t>
  </si>
  <si>
    <t>Rajat</t>
  </si>
  <si>
    <t>Ruhaan</t>
  </si>
  <si>
    <t>Kunal</t>
  </si>
  <si>
    <t>Sunny</t>
  </si>
  <si>
    <t>Lakshay</t>
  </si>
  <si>
    <t>Taran</t>
  </si>
  <si>
    <t>Suresh</t>
  </si>
  <si>
    <t>Mukesh</t>
  </si>
  <si>
    <t>Ramesh</t>
  </si>
  <si>
    <t>Sushant</t>
  </si>
  <si>
    <t>Amandeep</t>
  </si>
  <si>
    <t>Sameer</t>
  </si>
  <si>
    <t>Parekh</t>
  </si>
  <si>
    <t>Parag</t>
  </si>
  <si>
    <t>Sonu</t>
  </si>
  <si>
    <t>Kavish</t>
  </si>
  <si>
    <t>Rahul</t>
  </si>
  <si>
    <t>Gautam</t>
  </si>
  <si>
    <t>DATA FOR ABC LTD.</t>
  </si>
  <si>
    <t>Row Labels</t>
  </si>
  <si>
    <t>Sum of Revenue from Client</t>
  </si>
  <si>
    <t>Conditional Formatting</t>
  </si>
  <si>
    <t>Higllight Cellls with Metals only [Formula = $C5="METALS"]</t>
  </si>
  <si>
    <t xml:space="preserve">STEP 1: Go to Conditional Formatting </t>
  </si>
  <si>
    <t>STEP 2: New Rules</t>
  </si>
  <si>
    <t>Step 3: Use Formula to decide which cells to format</t>
  </si>
  <si>
    <t>Step 4: Add the formula</t>
  </si>
  <si>
    <t>Step 5: Select the Formatting option under the format dialog box</t>
  </si>
  <si>
    <t>Highlight Cells with Pharma only [Formula = $C5="PHARMA"]</t>
  </si>
  <si>
    <t>Student ID</t>
  </si>
  <si>
    <t xml:space="preserve">Name </t>
  </si>
  <si>
    <t>Age</t>
  </si>
  <si>
    <t xml:space="preserve">Gender </t>
  </si>
  <si>
    <t xml:space="preserve">Course </t>
  </si>
  <si>
    <t>City</t>
  </si>
  <si>
    <t>Marks</t>
  </si>
  <si>
    <t>Board</t>
  </si>
  <si>
    <t>Sivashankar</t>
  </si>
  <si>
    <t>Bhaskar</t>
  </si>
  <si>
    <t>Aryan</t>
  </si>
  <si>
    <t>Harish</t>
  </si>
  <si>
    <t>Anshu</t>
  </si>
  <si>
    <t>Mandira</t>
  </si>
  <si>
    <t>Venkat</t>
  </si>
  <si>
    <t>Shivani</t>
  </si>
  <si>
    <t>Shubham</t>
  </si>
  <si>
    <t>Sai</t>
  </si>
  <si>
    <t>Ishika</t>
  </si>
  <si>
    <t>Male</t>
  </si>
  <si>
    <t>Female</t>
  </si>
  <si>
    <t>Digital Marketing</t>
  </si>
  <si>
    <t>Cyber Security</t>
  </si>
  <si>
    <t>FSD</t>
  </si>
  <si>
    <t>Data Analytics</t>
  </si>
  <si>
    <t>Data Engineering</t>
  </si>
  <si>
    <t>Delhi</t>
  </si>
  <si>
    <t>Kolkata</t>
  </si>
  <si>
    <t>Bangalore</t>
  </si>
  <si>
    <t>Pune</t>
  </si>
  <si>
    <t>Mumbai</t>
  </si>
  <si>
    <t>Chennai</t>
  </si>
  <si>
    <t>CBSE</t>
  </si>
  <si>
    <t>ICSE</t>
  </si>
  <si>
    <t>State</t>
  </si>
  <si>
    <t>Conditional Formatting --&gt; Data Bars [Note: Data Bars works only in Numerical Columns]</t>
  </si>
  <si>
    <t>Conditional Formatting --&gt; Color Scales [Note: Color Scales works only in Numerical Columns]</t>
  </si>
  <si>
    <t>Conditional Formatting --&gt; Icon Sets [Note: Icon Sets works only in Numerical Columns]</t>
  </si>
  <si>
    <t>Criteria</t>
  </si>
  <si>
    <t>&gt; 75 Marks</t>
  </si>
  <si>
    <t>Green Arrow</t>
  </si>
  <si>
    <t>50 - 74</t>
  </si>
  <si>
    <t>&lt; 50 Below</t>
  </si>
  <si>
    <t>Red Arrow</t>
  </si>
  <si>
    <t>Yellow Arrow</t>
  </si>
  <si>
    <t>Vlookup</t>
  </si>
  <si>
    <t>Vertical Lookup</t>
  </si>
  <si>
    <t>Hlookup</t>
  </si>
  <si>
    <t>Horizontal Lookup</t>
  </si>
  <si>
    <t>Searching for values from top to down</t>
  </si>
  <si>
    <t>Searching for values from left to right</t>
  </si>
  <si>
    <t>Mostly used in 2 Ways: -</t>
  </si>
  <si>
    <t>1. Creating Small Dashboards</t>
  </si>
  <si>
    <t>2. To Merge Sheets</t>
  </si>
  <si>
    <t>Name</t>
  </si>
  <si>
    <t>Course</t>
  </si>
  <si>
    <t>Gender</t>
  </si>
  <si>
    <t>To access Data Easily [Lookup Value]</t>
  </si>
  <si>
    <t xml:space="preserve"> =VLOOKUP(L10, B9:I20, 2, FALSE)</t>
  </si>
  <si>
    <t>Data Validation</t>
  </si>
  <si>
    <t>It is used to deal with any wrong entries</t>
  </si>
  <si>
    <t>Data Validation::: Data Option::: Data Validation Option::: Allow = "List"::: Select the Source</t>
  </si>
  <si>
    <t>VLookup Value</t>
  </si>
  <si>
    <t>Xlookup</t>
  </si>
  <si>
    <t>Drawback of Vlookup and Hlookup is that it can only value only in forward directions &amp; No flexiblity to insert and delete the columns in between</t>
  </si>
  <si>
    <t>Highlight Cells with Pharma only [Formula = $C5="SERVICES"]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</si>
</sst>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_(* \(#,##0.00\);_(* &quot;-&quot;??_);_(@_)"/>
  </numFmts>
  <fonts count="16" x14ac:knownFonts="1">
    <font>
      <sz val="11"/>
      <color theme="1"/>
      <name val="Calibri"/>
      <family val="2"/>
      <scheme val="minor"/>
    </font>
    <font>
      <sz val="10"/>
      <name val="Arial"/>
      <family val="2"/>
    </font>
    <font>
      <sz val="10"/>
      <name val="Arial"/>
      <family val="2"/>
    </font>
    <font>
      <sz val="11"/>
      <color theme="1"/>
      <name val="Calibri"/>
      <family val="2"/>
      <scheme val="minor"/>
    </font>
    <font>
      <sz val="11"/>
      <color theme="1"/>
      <name val="Times New Roman"/>
      <family val="1"/>
    </font>
    <font>
      <sz val="11"/>
      <name val="Times New Roman"/>
      <family val="1"/>
    </font>
    <font>
      <b/>
      <sz val="14"/>
      <color theme="1"/>
      <name val="Times New Roman"/>
      <family val="1"/>
    </font>
    <font>
      <b/>
      <sz val="11"/>
      <color rgb="FF002060"/>
      <name val="Times New Roman"/>
      <family val="1"/>
    </font>
    <font>
      <sz val="11"/>
      <color theme="2"/>
      <name val="Times New Roman"/>
      <family val="1"/>
    </font>
    <font>
      <sz val="8"/>
      <name val="Calibri"/>
      <family val="2"/>
      <scheme val="minor"/>
    </font>
    <font>
      <b/>
      <sz val="11"/>
      <color theme="1"/>
      <name val="Times New Roman"/>
      <family val="1"/>
    </font>
    <font>
      <b/>
      <sz val="12"/>
      <color theme="1"/>
      <name val="Times New Roman"/>
      <family val="1"/>
    </font>
    <font>
      <b/>
      <sz val="11"/>
      <color rgb="FFC00000"/>
      <name val="Times New Roman"/>
      <family val="1"/>
    </font>
    <font>
      <sz val="11"/>
      <color rgb="FFC00000"/>
      <name val="Times New Roman"/>
      <family val="1"/>
    </font>
    <font>
      <sz val="12"/>
      <color theme="1"/>
      <name val="Times New Roman"/>
      <family val="1"/>
    </font>
    <font>
      <b/>
      <sz val="18"/>
      <color theme="1"/>
      <name val="Times New Roman"/>
      <family val="1"/>
    </font>
  </fonts>
  <fills count="7">
    <fill>
      <patternFill patternType="none"/>
    </fill>
    <fill>
      <patternFill patternType="gray125"/>
    </fill>
    <fill>
      <patternFill patternType="solid">
        <fgColor rgb="FFFFC000"/>
        <bgColor indexed="64"/>
      </patternFill>
    </fill>
    <fill>
      <patternFill patternType="solid">
        <fgColor rgb="FF92D050"/>
        <bgColor indexed="64"/>
      </patternFill>
    </fill>
    <fill>
      <patternFill patternType="solid">
        <fgColor theme="7" tint="0.39997558519241921"/>
        <bgColor indexed="64"/>
      </patternFill>
    </fill>
    <fill>
      <patternFill patternType="solid">
        <fgColor theme="2" tint="-9.9978637043366805E-2"/>
        <bgColor indexed="64"/>
      </patternFill>
    </fill>
    <fill>
      <patternFill patternType="solid">
        <fgColor theme="0" tint="-0.1499984740745262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4">
    <xf numFmtId="0" fontId="0" fillId="0" borderId="0"/>
    <xf numFmtId="0" fontId="1" fillId="0" borderId="0"/>
    <xf numFmtId="0" fontId="2" fillId="0" borderId="0"/>
    <xf numFmtId="164" fontId="3" fillId="0" borderId="0" applyFont="0" applyFill="0" applyBorder="0" applyAlignment="0" applyProtection="0"/>
  </cellStyleXfs>
  <cellXfs count="63">
    <xf numFmtId="0" fontId="0" fillId="0" borderId="0" xfId="0"/>
    <xf numFmtId="0" fontId="4" fillId="0" borderId="0" xfId="0" applyFont="1"/>
    <xf numFmtId="0" fontId="5" fillId="0" borderId="6" xfId="2" applyFont="1" applyBorder="1" applyAlignment="1">
      <alignment horizontal="left"/>
    </xf>
    <xf numFmtId="0" fontId="5" fillId="0" borderId="1" xfId="2" applyFont="1" applyBorder="1"/>
    <xf numFmtId="0" fontId="5" fillId="0" borderId="1" xfId="2" applyFont="1" applyBorder="1" applyAlignment="1">
      <alignment horizontal="center"/>
    </xf>
    <xf numFmtId="2" fontId="5" fillId="0" borderId="1" xfId="3" applyNumberFormat="1" applyFont="1" applyFill="1" applyBorder="1" applyAlignment="1">
      <alignment horizontal="center"/>
    </xf>
    <xf numFmtId="0" fontId="5" fillId="0" borderId="7" xfId="2" applyFont="1" applyBorder="1" applyAlignment="1">
      <alignment horizontal="center"/>
    </xf>
    <xf numFmtId="2" fontId="5" fillId="0" borderId="6" xfId="2" applyNumberFormat="1" applyFont="1" applyBorder="1" applyAlignment="1">
      <alignment horizontal="left"/>
    </xf>
    <xf numFmtId="0" fontId="5" fillId="0" borderId="11" xfId="2" applyFont="1" applyBorder="1" applyAlignment="1">
      <alignment horizontal="left"/>
    </xf>
    <xf numFmtId="0" fontId="5" fillId="0" borderId="5" xfId="2" applyFont="1" applyBorder="1"/>
    <xf numFmtId="0" fontId="5" fillId="0" borderId="5" xfId="2" applyFont="1" applyBorder="1" applyAlignment="1">
      <alignment horizontal="center"/>
    </xf>
    <xf numFmtId="2" fontId="5" fillId="0" borderId="5" xfId="3" applyNumberFormat="1" applyFont="1" applyFill="1" applyBorder="1" applyAlignment="1">
      <alignment horizontal="center"/>
    </xf>
    <xf numFmtId="0" fontId="5" fillId="0" borderId="12" xfId="2" applyFont="1" applyBorder="1" applyAlignment="1">
      <alignment horizontal="center"/>
    </xf>
    <xf numFmtId="0" fontId="4" fillId="0" borderId="0" xfId="0" applyFont="1" applyAlignment="1">
      <alignment horizontal="left"/>
    </xf>
    <xf numFmtId="0" fontId="4" fillId="0" borderId="0" xfId="0" applyFont="1" applyAlignment="1">
      <alignment horizontal="center"/>
    </xf>
    <xf numFmtId="0" fontId="7" fillId="2" borderId="8" xfId="0" applyFont="1" applyFill="1" applyBorder="1" applyAlignment="1">
      <alignment horizontal="center" vertical="center" wrapText="1"/>
    </xf>
    <xf numFmtId="0" fontId="7" fillId="2" borderId="9" xfId="0" applyFont="1" applyFill="1" applyBorder="1" applyAlignment="1">
      <alignment horizontal="center" vertical="center" wrapText="1"/>
    </xf>
    <xf numFmtId="0" fontId="7" fillId="2" borderId="10" xfId="0" applyFont="1" applyFill="1" applyBorder="1" applyAlignment="1">
      <alignment horizontal="center" vertical="center" wrapText="1"/>
    </xf>
    <xf numFmtId="0" fontId="4" fillId="0" borderId="0" xfId="0" pivotButton="1" applyFont="1"/>
    <xf numFmtId="2" fontId="4" fillId="0" borderId="0" xfId="0" applyNumberFormat="1" applyFont="1"/>
    <xf numFmtId="0" fontId="4" fillId="0" borderId="0" xfId="0" applyFont="1" applyAlignment="1">
      <alignment horizontal="left" indent="1"/>
    </xf>
    <xf numFmtId="2" fontId="8" fillId="0" borderId="1" xfId="3" applyNumberFormat="1" applyFont="1" applyFill="1" applyBorder="1" applyAlignment="1">
      <alignment horizontal="center"/>
    </xf>
    <xf numFmtId="0" fontId="4" fillId="0" borderId="0" xfId="0" applyFont="1" applyAlignment="1">
      <alignment horizontal="left" vertical="center"/>
    </xf>
    <xf numFmtId="0" fontId="4" fillId="0" borderId="0" xfId="0" applyFont="1" applyAlignment="1">
      <alignment vertical="center"/>
    </xf>
    <xf numFmtId="0" fontId="10" fillId="0" borderId="0" xfId="0" applyFont="1" applyAlignment="1">
      <alignment horizontal="center" vertical="center" wrapText="1"/>
    </xf>
    <xf numFmtId="0" fontId="4" fillId="0" borderId="1" xfId="0" applyFont="1" applyBorder="1" applyAlignment="1">
      <alignment horizontal="center" vertical="center"/>
    </xf>
    <xf numFmtId="0" fontId="4" fillId="0" borderId="9" xfId="0" applyFont="1" applyBorder="1" applyAlignment="1">
      <alignment horizontal="center" vertical="center"/>
    </xf>
    <xf numFmtId="0" fontId="12" fillId="4" borderId="13" xfId="0" applyFont="1" applyFill="1" applyBorder="1" applyAlignment="1">
      <alignment horizontal="center" vertical="center"/>
    </xf>
    <xf numFmtId="0" fontId="12" fillId="4" borderId="14" xfId="0" applyFont="1" applyFill="1" applyBorder="1" applyAlignment="1">
      <alignment horizontal="center" vertical="center"/>
    </xf>
    <xf numFmtId="0" fontId="12" fillId="4" borderId="15" xfId="0" applyFont="1" applyFill="1" applyBorder="1" applyAlignment="1">
      <alignment horizontal="center" vertical="center"/>
    </xf>
    <xf numFmtId="0" fontId="4" fillId="0" borderId="1" xfId="0" applyFont="1" applyBorder="1"/>
    <xf numFmtId="0" fontId="13" fillId="0" borderId="1" xfId="0" applyFont="1" applyBorder="1"/>
    <xf numFmtId="0" fontId="13" fillId="0" borderId="9" xfId="0" applyFont="1" applyBorder="1"/>
    <xf numFmtId="0" fontId="4" fillId="0" borderId="9" xfId="0" applyFont="1" applyBorder="1"/>
    <xf numFmtId="0" fontId="14" fillId="0" borderId="0" xfId="0" applyFont="1"/>
    <xf numFmtId="0" fontId="11" fillId="0" borderId="0" xfId="0" applyFont="1"/>
    <xf numFmtId="0" fontId="14" fillId="0" borderId="0" xfId="0" applyFont="1" applyAlignment="1">
      <alignment horizontal="center"/>
    </xf>
    <xf numFmtId="0" fontId="14" fillId="0" borderId="0" xfId="0" applyFont="1" applyAlignment="1">
      <alignment horizontal="left"/>
    </xf>
    <xf numFmtId="0" fontId="11" fillId="5" borderId="2" xfId="0" applyFont="1" applyFill="1" applyBorder="1"/>
    <xf numFmtId="0" fontId="11" fillId="5" borderId="3" xfId="0" applyFont="1" applyFill="1" applyBorder="1"/>
    <xf numFmtId="0" fontId="14" fillId="5" borderId="3" xfId="0" applyFont="1" applyFill="1" applyBorder="1"/>
    <xf numFmtId="0" fontId="11" fillId="5" borderId="4" xfId="0" applyFont="1" applyFill="1" applyBorder="1"/>
    <xf numFmtId="0" fontId="11" fillId="3" borderId="2" xfId="0" applyFont="1" applyFill="1" applyBorder="1"/>
    <xf numFmtId="0" fontId="11" fillId="3" borderId="3" xfId="0" applyFont="1" applyFill="1" applyBorder="1"/>
    <xf numFmtId="0" fontId="14" fillId="3" borderId="3" xfId="0" applyFont="1" applyFill="1" applyBorder="1"/>
    <xf numFmtId="0" fontId="11" fillId="3" borderId="4" xfId="0" applyFont="1" applyFill="1" applyBorder="1"/>
    <xf numFmtId="0" fontId="14" fillId="3" borderId="0" xfId="0" applyFont="1" applyFill="1" applyAlignment="1">
      <alignment horizontal="center"/>
    </xf>
    <xf numFmtId="0" fontId="15" fillId="0" borderId="0" xfId="0" applyFont="1"/>
    <xf numFmtId="0" fontId="6" fillId="0" borderId="2" xfId="0" applyFont="1" applyBorder="1" applyAlignment="1">
      <alignment horizontal="center"/>
    </xf>
    <xf numFmtId="0" fontId="6" fillId="0" borderId="3" xfId="0" applyFont="1" applyBorder="1" applyAlignment="1">
      <alignment horizontal="center"/>
    </xf>
    <xf numFmtId="0" fontId="6" fillId="0" borderId="4" xfId="0" applyFont="1" applyBorder="1" applyAlignment="1">
      <alignment horizontal="center"/>
    </xf>
    <xf numFmtId="0" fontId="4" fillId="0" borderId="0" xfId="0" applyFont="1" applyAlignment="1">
      <alignment horizontal="center"/>
    </xf>
    <xf numFmtId="0" fontId="4" fillId="0" borderId="0" xfId="0" applyFont="1" applyAlignment="1">
      <alignment horizontal="left" vertical="center"/>
    </xf>
    <xf numFmtId="0" fontId="10" fillId="0" borderId="0" xfId="0" applyFont="1" applyAlignment="1">
      <alignment horizontal="center" wrapText="1"/>
    </xf>
    <xf numFmtId="0" fontId="10" fillId="0" borderId="0" xfId="0" applyFont="1" applyAlignment="1">
      <alignment horizontal="center"/>
    </xf>
    <xf numFmtId="0" fontId="10" fillId="0" borderId="2" xfId="0" applyFont="1" applyBorder="1" applyAlignment="1">
      <alignment horizontal="center"/>
    </xf>
    <xf numFmtId="0" fontId="10" fillId="0" borderId="4" xfId="0" applyFont="1" applyBorder="1" applyAlignment="1">
      <alignment horizontal="center"/>
    </xf>
    <xf numFmtId="0" fontId="11" fillId="0" borderId="0" xfId="0" applyFont="1" applyAlignment="1">
      <alignment horizontal="center"/>
    </xf>
    <xf numFmtId="0" fontId="11" fillId="6" borderId="2" xfId="0" applyFont="1" applyFill="1" applyBorder="1" applyAlignment="1">
      <alignment horizontal="left"/>
    </xf>
    <xf numFmtId="0" fontId="11" fillId="6" borderId="4" xfId="0" applyFont="1" applyFill="1" applyBorder="1" applyAlignment="1">
      <alignment horizontal="left"/>
    </xf>
    <xf numFmtId="0" fontId="14" fillId="0" borderId="0" xfId="0" applyFont="1" applyAlignment="1">
      <alignment horizontal="left"/>
    </xf>
    <xf numFmtId="0" fontId="14" fillId="0" borderId="0" xfId="0" applyFont="1" applyAlignment="1">
      <alignment horizontal="center"/>
    </xf>
    <xf numFmtId="0" fontId="14" fillId="0" borderId="0" xfId="0" applyFont="1" applyAlignment="1">
      <alignment horizontal="center" wrapText="1"/>
    </xf>
  </cellXfs>
  <cellStyles count="4">
    <cellStyle name="Comma" xfId="3" builtinId="3"/>
    <cellStyle name="Normal" xfId="0" builtinId="0"/>
    <cellStyle name="Normal 3" xfId="2" xr:uid="{4CE4B0FF-E4C8-4AC4-97AB-EC8961B562BD}"/>
    <cellStyle name="Normal 5" xfId="1" xr:uid="{A7FACB1B-6AEE-483B-8F24-D857C9447D5C}"/>
  </cellStyles>
  <dxfs count="52">
    <dxf>
      <font>
        <color rgb="FF006100"/>
      </font>
      <fill>
        <patternFill>
          <bgColor rgb="FFC6EFCE"/>
        </patternFill>
      </fill>
    </dxf>
    <dxf>
      <font>
        <color rgb="FF9C5700"/>
      </font>
      <fill>
        <patternFill>
          <bgColor rgb="FFFFEB9C"/>
        </patternFill>
      </fill>
    </dxf>
    <dxf>
      <fill>
        <patternFill>
          <bgColor rgb="FF00B0F0"/>
        </patternFill>
      </fill>
    </dxf>
    <dxf>
      <fill>
        <patternFill>
          <bgColor theme="7" tint="0.39994506668294322"/>
        </patternFill>
      </fill>
    </dxf>
    <dxf>
      <font>
        <color theme="5"/>
      </font>
      <fill>
        <patternFill>
          <bgColor rgb="FF92D050"/>
        </patternFill>
      </fill>
    </dxf>
    <dxf>
      <fill>
        <patternFill>
          <bgColor theme="9" tint="0.59996337778862885"/>
        </patternFill>
      </fill>
    </dxf>
    <dxf>
      <font>
        <b val="0"/>
        <i val="0"/>
        <strike val="0"/>
        <condense val="0"/>
        <extend val="0"/>
        <outline val="0"/>
        <shadow val="0"/>
        <u val="none"/>
        <vertAlign val="baseline"/>
        <sz val="11"/>
        <color auto="1"/>
        <name val="Times New Roman"/>
        <family val="1"/>
        <scheme val="none"/>
      </font>
      <numFmt numFmtId="0" formatCode="General"/>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top style="thin">
          <color indexed="64"/>
        </top>
        <bottom/>
      </border>
      <protection locked="1" hidden="0"/>
    </dxf>
    <dxf>
      <font>
        <strike val="0"/>
        <outline val="0"/>
        <shadow val="0"/>
        <u val="none"/>
        <vertAlign val="baseline"/>
        <sz val="11"/>
        <color auto="1"/>
        <name val="Times New Roman"/>
        <family val="1"/>
        <scheme val="none"/>
      </font>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auto="1"/>
        <name val="Times New Roman"/>
        <family val="1"/>
        <scheme val="none"/>
      </font>
      <numFmt numFmtId="0" formatCode="General"/>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Times New Roman"/>
        <family val="1"/>
        <scheme val="none"/>
      </font>
      <numFmt numFmtId="2" formatCode="0.00"/>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Times New Roman"/>
        <family val="1"/>
        <scheme val="none"/>
      </font>
      <numFmt numFmtId="0" formatCode="General"/>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protection locked="1" hidden="0"/>
    </dxf>
    <dxf>
      <font>
        <strike val="0"/>
        <outline val="0"/>
        <shadow val="0"/>
        <u val="none"/>
        <vertAlign val="baseline"/>
        <sz val="11"/>
        <color auto="1"/>
        <name val="Times New Roman"/>
        <family val="1"/>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Times New Roman"/>
        <family val="1"/>
        <scheme val="none"/>
      </font>
      <numFmt numFmtId="0" formatCode="General"/>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protection locked="1" hidden="0"/>
    </dxf>
    <dxf>
      <font>
        <strike val="0"/>
        <outline val="0"/>
        <shadow val="0"/>
        <u val="none"/>
        <vertAlign val="baseline"/>
        <sz val="11"/>
        <color auto="1"/>
        <name val="Times New Roman"/>
        <family val="1"/>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Times New Roman"/>
        <family val="1"/>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border>
      <protection locked="1" hidden="0"/>
    </dxf>
    <dxf>
      <font>
        <strike val="0"/>
        <outline val="0"/>
        <shadow val="0"/>
        <u val="none"/>
        <vertAlign val="baseline"/>
        <sz val="11"/>
        <color auto="1"/>
        <name val="Times New Roman"/>
        <family val="1"/>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Times New Roman"/>
        <family val="1"/>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outline="0">
        <left/>
        <right style="thin">
          <color indexed="64"/>
        </right>
        <top style="thin">
          <color indexed="64"/>
        </top>
        <bottom/>
      </border>
      <protection locked="1" hidden="0"/>
    </dxf>
    <dxf>
      <font>
        <strike val="0"/>
        <outline val="0"/>
        <shadow val="0"/>
        <u val="none"/>
        <vertAlign val="baseline"/>
        <sz val="11"/>
        <color auto="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font>
        <strike val="0"/>
        <outline val="0"/>
        <shadow val="0"/>
        <u val="none"/>
        <vertAlign val="baseline"/>
        <name val="Times New Roman"/>
        <family val="1"/>
        <scheme val="none"/>
      </font>
    </dxf>
    <dxf>
      <border outline="0">
        <left style="medium">
          <color indexed="64"/>
        </left>
        <right style="medium">
          <color indexed="64"/>
        </right>
        <top style="medium">
          <color indexed="64"/>
        </top>
        <bottom style="medium">
          <color indexed="64"/>
        </bottom>
      </border>
    </dxf>
    <dxf>
      <font>
        <strike val="0"/>
        <outline val="0"/>
        <shadow val="0"/>
        <u val="none"/>
        <vertAlign val="baseline"/>
        <sz val="11"/>
        <color auto="1"/>
        <name val="Times New Roman"/>
        <family val="1"/>
        <scheme val="none"/>
      </font>
    </dxf>
    <dxf>
      <border outline="0">
        <bottom style="thin">
          <color indexed="64"/>
        </bottom>
      </border>
    </dxf>
    <dxf>
      <font>
        <b/>
        <i val="0"/>
        <strike val="0"/>
        <condense val="0"/>
        <extend val="0"/>
        <outline val="0"/>
        <shadow val="0"/>
        <u val="none"/>
        <vertAlign val="baseline"/>
        <sz val="11"/>
        <color rgb="FF002060"/>
        <name val="Times New Roman"/>
        <family val="1"/>
        <scheme val="none"/>
      </font>
      <fill>
        <patternFill patternType="solid">
          <fgColor indexed="64"/>
          <bgColor rgb="FFFFC000"/>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1"/>
        <color auto="1"/>
        <name val="Times New Roman"/>
        <family val="1"/>
        <scheme val="none"/>
      </font>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auto="1"/>
        <name val="Times New Roman"/>
        <family val="1"/>
        <scheme val="none"/>
      </font>
      <numFmt numFmtId="2" formatCode="0.00"/>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Times New Roman"/>
        <family val="1"/>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Times New Roman"/>
        <family val="1"/>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Times New Roman"/>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Times New Roman"/>
        <family val="1"/>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medium">
          <color indexed="64"/>
        </left>
        <right style="medium">
          <color indexed="64"/>
        </right>
        <top style="medium">
          <color indexed="64"/>
        </top>
        <bottom style="medium">
          <color indexed="64"/>
        </bottom>
      </border>
    </dxf>
    <dxf>
      <font>
        <strike val="0"/>
        <outline val="0"/>
        <shadow val="0"/>
        <u val="none"/>
        <vertAlign val="baseline"/>
        <sz val="11"/>
        <color auto="1"/>
        <name val="Times New Roman"/>
        <family val="1"/>
        <scheme val="none"/>
      </font>
    </dxf>
    <dxf>
      <border outline="0">
        <bottom style="thin">
          <color indexed="64"/>
        </bottom>
      </border>
    </dxf>
    <dxf>
      <font>
        <b/>
        <i val="0"/>
        <strike val="0"/>
        <condense val="0"/>
        <extend val="0"/>
        <outline val="0"/>
        <shadow val="0"/>
        <u val="none"/>
        <vertAlign val="baseline"/>
        <sz val="11"/>
        <color rgb="FF002060"/>
        <name val="Times New Roman"/>
        <family val="1"/>
        <scheme val="none"/>
      </font>
      <fill>
        <patternFill patternType="solid">
          <fgColor indexed="64"/>
          <bgColor rgb="FFFFC000"/>
        </patternFill>
      </fill>
      <alignment horizontal="center" vertical="center" textRotation="0" wrapText="1" indent="0" justifyLastLine="0" shrinkToFit="0" readingOrder="0"/>
      <border diagonalUp="0" diagonalDown="0" outline="0">
        <left style="thin">
          <color indexed="64"/>
        </left>
        <right style="thin">
          <color indexed="64"/>
        </right>
        <top/>
        <bottom/>
      </border>
    </dxf>
    <dxf>
      <border>
        <left/>
        <right/>
        <top/>
        <bottom/>
        <vertical/>
        <horizontal/>
      </border>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[Pivot_Example.xlsx]Pivot Table!PivotTable1</c:name>
    <c:fmtId val="2"/>
  </c:pivotSource>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'Pivot Table'!$A$4:$A$14</c:f>
              <c:multiLvlStrCache>
                <c:ptCount val="6"/>
                <c:lvl>
                  <c:pt idx="0">
                    <c:v>ACC Ltd.</c:v>
                  </c:pt>
                  <c:pt idx="1">
                    <c:v>HDFC Asset Management Company Ltd.</c:v>
                  </c:pt>
                  <c:pt idx="2">
                    <c:v>Muthoot Finance Ltd.</c:v>
                  </c:pt>
                  <c:pt idx="3">
                    <c:v>Dr. Lal Path Labs Ltd.</c:v>
                  </c:pt>
                  <c:pt idx="4">
                    <c:v>Oracle Financial Services Software Ltd.</c:v>
                  </c:pt>
                  <c:pt idx="5">
                    <c:v>Coal India Ltd.</c:v>
                  </c:pt>
                </c:lvl>
                <c:lvl>
                  <c:pt idx="0">
                    <c:v>CEMENT &amp; CEMENT PRODUCTS</c:v>
                  </c:pt>
                  <c:pt idx="1">
                    <c:v>FINANCIAL SERVICES</c:v>
                  </c:pt>
                  <c:pt idx="3">
                    <c:v>HEALTHCARE SERVICES</c:v>
                  </c:pt>
                  <c:pt idx="4">
                    <c:v>IT</c:v>
                  </c:pt>
                  <c:pt idx="5">
                    <c:v>METALS</c:v>
                  </c:pt>
                </c:lvl>
              </c:multiLvlStrCache>
            </c:multiLvlStrRef>
          </c:cat>
          <c:val>
            <c:numRef>
              <c:f>'Pivot Table'!$B$4:$B$14</c:f>
              <c:numCache>
                <c:formatCode>0.00</c:formatCode>
                <c:ptCount val="6"/>
                <c:pt idx="0">
                  <c:v>31951</c:v>
                </c:pt>
                <c:pt idx="1">
                  <c:v>19233</c:v>
                </c:pt>
                <c:pt idx="2">
                  <c:v>29986</c:v>
                </c:pt>
                <c:pt idx="3">
                  <c:v>69890</c:v>
                </c:pt>
                <c:pt idx="4">
                  <c:v>52756</c:v>
                </c:pt>
                <c:pt idx="5">
                  <c:v>61565</c:v>
                </c:pt>
              </c:numCache>
            </c:numRef>
          </c:val>
          <c:extLst>
            <c:ext xmlns:c16="http://schemas.microsoft.com/office/drawing/2014/chart" uri="{C3380CC4-5D6E-409C-BE32-E72D297353CC}">
              <c16:uniqueId val="{00000000-0EEC-4E0F-8463-8760B7058400}"/>
            </c:ext>
          </c:extLst>
        </c:ser>
        <c:dLbls>
          <c:dLblPos val="ctr"/>
          <c:showLegendKey val="0"/>
          <c:showVal val="1"/>
          <c:showCatName val="0"/>
          <c:showSerName val="0"/>
          <c:showPercent val="0"/>
          <c:showBubbleSize val="0"/>
        </c:dLbls>
        <c:gapWidth val="79"/>
        <c:overlap val="100"/>
        <c:axId val="808307200"/>
        <c:axId val="808310560"/>
      </c:barChart>
      <c:catAx>
        <c:axId val="8083072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808310560"/>
        <c:crosses val="autoZero"/>
        <c:auto val="1"/>
        <c:lblAlgn val="ctr"/>
        <c:lblOffset val="100"/>
        <c:noMultiLvlLbl val="0"/>
      </c:catAx>
      <c:valAx>
        <c:axId val="808310560"/>
        <c:scaling>
          <c:orientation val="minMax"/>
        </c:scaling>
        <c:delete val="1"/>
        <c:axPos val="l"/>
        <c:numFmt formatCode="0.00" sourceLinked="1"/>
        <c:majorTickMark val="none"/>
        <c:minorTickMark val="none"/>
        <c:tickLblPos val="nextTo"/>
        <c:crossAx val="808307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733697</xdr:colOff>
      <xdr:row>13</xdr:row>
      <xdr:rowOff>171995</xdr:rowOff>
    </xdr:from>
    <xdr:to>
      <xdr:col>13</xdr:col>
      <xdr:colOff>507274</xdr:colOff>
      <xdr:row>35</xdr:row>
      <xdr:rowOff>158931</xdr:rowOff>
    </xdr:to>
    <xdr:graphicFrame macro="">
      <xdr:nvGraphicFramePr>
        <xdr:cNvPr id="3" name="Chart 2">
          <a:extLst>
            <a:ext uri="{FF2B5EF4-FFF2-40B4-BE49-F238E27FC236}">
              <a16:creationId xmlns:a16="http://schemas.microsoft.com/office/drawing/2014/main" id="{6C9B9FCF-17F2-444C-BC93-D3643E1401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345527</xdr:colOff>
      <xdr:row>3</xdr:row>
      <xdr:rowOff>8966</xdr:rowOff>
    </xdr:from>
    <xdr:to>
      <xdr:col>23</xdr:col>
      <xdr:colOff>376007</xdr:colOff>
      <xdr:row>14</xdr:row>
      <xdr:rowOff>35859</xdr:rowOff>
    </xdr:to>
    <mc:AlternateContent xmlns:mc="http://schemas.openxmlformats.org/markup-compatibility/2006" xmlns:a14="http://schemas.microsoft.com/office/drawing/2010/main">
      <mc:Choice Requires="a14">
        <xdr:graphicFrame macro="">
          <xdr:nvGraphicFramePr>
            <xdr:cNvPr id="4" name="Industry 1">
              <a:extLst>
                <a:ext uri="{FF2B5EF4-FFF2-40B4-BE49-F238E27FC236}">
                  <a16:creationId xmlns:a16="http://schemas.microsoft.com/office/drawing/2014/main" id="{5E5DD577-6186-88D6-BA9A-F41AAA6AC90F}"/>
                </a:ext>
              </a:extLst>
            </xdr:cNvPr>
            <xdr:cNvGraphicFramePr/>
          </xdr:nvGraphicFramePr>
          <xdr:xfrm>
            <a:off x="0" y="0"/>
            <a:ext cx="0" cy="0"/>
          </xdr:xfrm>
          <a:graphic>
            <a:graphicData uri="http://schemas.microsoft.com/office/drawing/2010/slicer">
              <sle:slicer xmlns:sle="http://schemas.microsoft.com/office/drawing/2010/slicer" name="Industry 1"/>
            </a:graphicData>
          </a:graphic>
        </xdr:graphicFrame>
      </mc:Choice>
      <mc:Fallback xmlns="">
        <xdr:sp macro="" textlink="">
          <xdr:nvSpPr>
            <xdr:cNvPr id="0" name=""/>
            <xdr:cNvSpPr>
              <a:spLocks noTextEdit="1"/>
            </xdr:cNvSpPr>
          </xdr:nvSpPr>
          <xdr:spPr>
            <a:xfrm>
              <a:off x="20244613" y="542366"/>
              <a:ext cx="5288280" cy="20625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99636</xdr:colOff>
      <xdr:row>14</xdr:row>
      <xdr:rowOff>80361</xdr:rowOff>
    </xdr:from>
    <xdr:to>
      <xdr:col>24</xdr:col>
      <xdr:colOff>122945</xdr:colOff>
      <xdr:row>31</xdr:row>
      <xdr:rowOff>10884</xdr:rowOff>
    </xdr:to>
    <mc:AlternateContent xmlns:mc="http://schemas.openxmlformats.org/markup-compatibility/2006" xmlns:a14="http://schemas.microsoft.com/office/drawing/2010/main">
      <mc:Choice Requires="a14">
        <xdr:graphicFrame macro="">
          <xdr:nvGraphicFramePr>
            <xdr:cNvPr id="5" name="Relationship Manager 1">
              <a:extLst>
                <a:ext uri="{FF2B5EF4-FFF2-40B4-BE49-F238E27FC236}">
                  <a16:creationId xmlns:a16="http://schemas.microsoft.com/office/drawing/2014/main" id="{29E665FF-7577-74AD-BF95-889F7AE9DB5C}"/>
                </a:ext>
              </a:extLst>
            </xdr:cNvPr>
            <xdr:cNvGraphicFramePr/>
          </xdr:nvGraphicFramePr>
          <xdr:xfrm>
            <a:off x="0" y="0"/>
            <a:ext cx="0" cy="0"/>
          </xdr:xfrm>
          <a:graphic>
            <a:graphicData uri="http://schemas.microsoft.com/office/drawing/2010/slicer">
              <sle:slicer xmlns:sle="http://schemas.microsoft.com/office/drawing/2010/slicer" name="Relationship Manager 1"/>
            </a:graphicData>
          </a:graphic>
        </xdr:graphicFrame>
      </mc:Choice>
      <mc:Fallback xmlns="">
        <xdr:sp macro="" textlink="">
          <xdr:nvSpPr>
            <xdr:cNvPr id="0" name=""/>
            <xdr:cNvSpPr>
              <a:spLocks noTextEdit="1"/>
            </xdr:cNvSpPr>
          </xdr:nvSpPr>
          <xdr:spPr>
            <a:xfrm>
              <a:off x="19998722" y="2649390"/>
              <a:ext cx="5890709" cy="29023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7</xdr:col>
      <xdr:colOff>588980</xdr:colOff>
      <xdr:row>19</xdr:row>
      <xdr:rowOff>170779</xdr:rowOff>
    </xdr:from>
    <xdr:to>
      <xdr:col>10</xdr:col>
      <xdr:colOff>161365</xdr:colOff>
      <xdr:row>30</xdr:row>
      <xdr:rowOff>134471</xdr:rowOff>
    </xdr:to>
    <mc:AlternateContent xmlns:mc="http://schemas.openxmlformats.org/markup-compatibility/2006" xmlns:sle15="http://schemas.microsoft.com/office/drawing/2012/slicer">
      <mc:Choice Requires="sle15">
        <xdr:graphicFrame macro="">
          <xdr:nvGraphicFramePr>
            <xdr:cNvPr id="2" name="Industry">
              <a:extLst>
                <a:ext uri="{FF2B5EF4-FFF2-40B4-BE49-F238E27FC236}">
                  <a16:creationId xmlns:a16="http://schemas.microsoft.com/office/drawing/2014/main" id="{AD923749-4341-3062-8CFE-65DA401B58CB}"/>
                </a:ext>
              </a:extLst>
            </xdr:cNvPr>
            <xdr:cNvGraphicFramePr/>
          </xdr:nvGraphicFramePr>
          <xdr:xfrm>
            <a:off x="0" y="0"/>
            <a:ext cx="0" cy="0"/>
          </xdr:xfrm>
          <a:graphic>
            <a:graphicData uri="http://schemas.microsoft.com/office/drawing/2010/slicer">
              <sle:slicer xmlns:sle="http://schemas.microsoft.com/office/drawing/2010/slicer" name="Industry"/>
            </a:graphicData>
          </a:graphic>
        </xdr:graphicFrame>
      </mc:Choice>
      <mc:Fallback xmlns="">
        <xdr:sp macro="" textlink="">
          <xdr:nvSpPr>
            <xdr:cNvPr id="0" name=""/>
            <xdr:cNvSpPr>
              <a:spLocks noTextEdit="1"/>
            </xdr:cNvSpPr>
          </xdr:nvSpPr>
          <xdr:spPr>
            <a:xfrm>
              <a:off x="13175427" y="3631155"/>
              <a:ext cx="5704244" cy="1935928"/>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611840</xdr:colOff>
      <xdr:row>3</xdr:row>
      <xdr:rowOff>50202</xdr:rowOff>
    </xdr:from>
    <xdr:to>
      <xdr:col>10</xdr:col>
      <xdr:colOff>1048870</xdr:colOff>
      <xdr:row>18</xdr:row>
      <xdr:rowOff>53789</xdr:rowOff>
    </xdr:to>
    <mc:AlternateContent xmlns:mc="http://schemas.openxmlformats.org/markup-compatibility/2006" xmlns:sle15="http://schemas.microsoft.com/office/drawing/2012/slicer">
      <mc:Choice Requires="sle15">
        <xdr:graphicFrame macro="">
          <xdr:nvGraphicFramePr>
            <xdr:cNvPr id="3" name="Relationship Manager">
              <a:extLst>
                <a:ext uri="{FF2B5EF4-FFF2-40B4-BE49-F238E27FC236}">
                  <a16:creationId xmlns:a16="http://schemas.microsoft.com/office/drawing/2014/main" id="{F78BF963-FE7D-A2C4-3070-EB4A498CCFEA}"/>
                </a:ext>
              </a:extLst>
            </xdr:cNvPr>
            <xdr:cNvGraphicFramePr/>
          </xdr:nvGraphicFramePr>
          <xdr:xfrm>
            <a:off x="0" y="0"/>
            <a:ext cx="0" cy="0"/>
          </xdr:xfrm>
          <a:graphic>
            <a:graphicData uri="http://schemas.microsoft.com/office/drawing/2010/slicer">
              <sle:slicer xmlns:sle="http://schemas.microsoft.com/office/drawing/2010/slicer" name="Relationship Manager"/>
            </a:graphicData>
          </a:graphic>
        </xdr:graphicFrame>
      </mc:Choice>
      <mc:Fallback xmlns="">
        <xdr:sp macro="" textlink="">
          <xdr:nvSpPr>
            <xdr:cNvPr id="0" name=""/>
            <xdr:cNvSpPr>
              <a:spLocks noTextEdit="1"/>
            </xdr:cNvSpPr>
          </xdr:nvSpPr>
          <xdr:spPr>
            <a:xfrm>
              <a:off x="13198287" y="641873"/>
              <a:ext cx="6568889" cy="2692998"/>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yan Jaiswal" refreshedDate="45961.877836805557" createdVersion="8" refreshedVersion="8" minRefreshableVersion="3" recordCount="149" xr:uid="{6E74C94E-A5B0-49B3-9210-4C78824681E9}">
  <cacheSource type="worksheet">
    <worksheetSource ref="B3:G152" sheet="Main Data"/>
  </cacheSource>
  <cacheFields count="6">
    <cacheField name="Client Name" numFmtId="0">
      <sharedItems count="149">
        <s v="Housing &amp; Urban Development Corporation Ltd."/>
        <s v="Canara Bank"/>
        <s v="Mahanagar Gas Ltd."/>
        <s v="Indian Hotels Co. Ltd."/>
        <s v="L&amp;T Finance Holdings Ltd."/>
        <s v="JSW Energy Ltd."/>
        <s v="Max Financial Services Ltd."/>
        <s v="ICICI Lombard General Insurance Company Ltd."/>
        <s v="Coromandel International Ltd."/>
        <s v="GAIL (India) Ltd."/>
        <s v="Gujarat State Petronet Ltd."/>
        <s v="Cadila Healthcare Ltd."/>
        <s v="IDFC First Bank Ltd."/>
        <s v="ITC Ltd."/>
        <s v="Hindustan Zinc Ltd."/>
        <s v="Crompton Greaves Consumer Electricals Ltd."/>
        <s v="Berger Paints India Ltd."/>
        <s v="Oberoi Realty Ltd."/>
        <s v="Future Retail Ltd."/>
        <s v="Lupin Ltd."/>
        <s v="Bank of India"/>
        <s v="Ipca Laboratories Ltd."/>
        <s v="Federal Bank Ltd."/>
        <s v="Mahindra &amp; Mahindra Financial Services Ltd."/>
        <s v="Indiabulls Ventures Ltd."/>
        <s v="Info Edge (India) Ltd."/>
        <s v="Motherson Sumi Systems Ltd."/>
        <s v="DLF Ltd."/>
        <s v="Jubilant Foodworks Ltd."/>
        <s v="Havells India Ltd."/>
        <s v="Abbott India Ltd."/>
        <s v="Infosys Ltd."/>
        <s v="Adani Gas Ltd."/>
        <s v="Adani Enterprises Ltd."/>
        <s v="Mahindra &amp; Mahindra Ltd."/>
        <s v="JSW Steel Ltd."/>
        <s v="IndusInd Bank Ltd."/>
        <s v="LIC Housing Finance Ltd."/>
        <s v="Ajanta Pharmaceuticals Ltd."/>
        <s v="Asian Paints Ltd."/>
        <s v="Balkrishna Industries Ltd."/>
        <s v="Container Corporation of India Ltd."/>
        <s v="Aurobindo Pharma Ltd."/>
        <s v="Indraprastha Gas Ltd."/>
        <s v="Oil &amp; Natural Gas Corporation Ltd."/>
        <s v="Aarti Industries Ltd."/>
        <s v="InterGlobe Aviation Ltd."/>
        <s v="Dr. Lal Path Labs Ltd."/>
        <s v="Dabur India Ltd."/>
        <s v="Indian Oil Corporation Ltd."/>
        <s v="Hindustan Unilever Ltd."/>
        <s v="Alkem Laboratories Ltd."/>
        <s v="Exide Industries Ltd."/>
        <s v="PI Industries Ltd."/>
        <s v="Biocon Ltd."/>
        <s v="Ashok Leyland Ltd."/>
        <s v="Apollo Hospitals Enterprise Ltd."/>
        <s v="Avenue Supermarts Ltd."/>
        <s v="Bharti Airtel Ltd."/>
        <s v="Bharat Electronics Ltd."/>
        <s v="Coal India Ltd."/>
        <s v="NTPC Ltd."/>
        <s v="Bharat Petroleum Corporation Ltd."/>
        <s v="L&amp;T Technology Services Ltd."/>
        <s v="Edelweiss Financial Services Ltd."/>
        <s v="Godrej Industries Ltd."/>
        <s v="Bank of Baroda"/>
        <s v="Adani Green Energy Ltd."/>
        <s v="Bharat Heavy Electricals Ltd."/>
        <s v="Eicher Motors Ltd."/>
        <s v="MindTree Ltd."/>
        <s v="NMDC Ltd."/>
        <s v="Cummins India Ltd."/>
        <s v="Oracle Financial Services Software Ltd."/>
        <s v="CESC Ltd."/>
        <s v="Dalmia Bharat Ltd."/>
        <s v="Indiabulls Housing Finance Ltd."/>
        <s v="Maruti Suzuki India Ltd."/>
        <s v="Bharat Forge Ltd."/>
        <s v="Bata India Ltd."/>
        <s v="Hindalco Industries Ltd."/>
        <s v="Gujarat Gas Ltd."/>
        <s v="Emami Ltd."/>
        <s v="Godrej Properties Ltd."/>
        <s v="Fortis Healthcare Ltd."/>
        <s v="ICICI Prudential Life Insurance Company Ltd."/>
        <s v="HDFC Life Insurance Company Ltd."/>
        <s v="Grasim Industries Ltd."/>
        <s v="Hero MotoCorp Ltd."/>
        <s v="Housing Development Finance Corporation Ltd."/>
        <s v="Escorts Ltd."/>
        <s v="Bharti Infratel Ltd."/>
        <s v="Hindustan Petroleum Corporation Ltd."/>
        <s v="Endurance Technologies Ltd."/>
        <s v="Bandhan Bank Ltd."/>
        <s v="Ambuja Cements Ltd."/>
        <s v="Godrej Consumer Products Ltd."/>
        <s v="Apollo Tyres Ltd."/>
        <s v="HDFC Bank Ltd."/>
        <s v="Godrej Agrovet Ltd."/>
        <s v="ACC Ltd."/>
        <s v="Bajaj Holdings &amp; Investment Ltd."/>
        <s v="MphasiS Ltd."/>
        <s v="Muthoot Finance Ltd."/>
        <s v="City Union Bank Ltd."/>
        <s v="Page Industries Ltd."/>
        <s v="Larsen &amp; Toubro Infotech Ltd."/>
        <s v="Cipla Ltd."/>
        <s v="GMR Infrastructure Ltd."/>
        <s v="Nippon Life India Asset Management Ltd."/>
        <s v="Manappuram Finance Ltd."/>
        <s v="Divi's Laboratories Ltd."/>
        <s v="Glenmark Pharmaceuticals Ltd."/>
        <s v="Britannia Industries Ltd."/>
        <s v="Kotak Mahindra Bank Ltd."/>
        <s v="Bajaj Auto Ltd."/>
        <s v="HDFC Asset Management Company Ltd."/>
        <s v="Oil India Ltd."/>
        <s v="National Aluminium Co. Ltd."/>
        <s v="Alembic Pharmaceuticals Ltd."/>
        <s v="AU Small Finance Bank Ltd."/>
        <s v="Marico Ltd."/>
        <s v="Navin Fluorine International Ltd."/>
        <s v="Amara Raja Batteries Ltd."/>
        <s v="HCL Technologies Ltd."/>
        <s v="Adani Transmission Ltd."/>
        <s v="Petronet LNG Ltd."/>
        <s v="Bajaj Finance Ltd."/>
        <s v="Bajaj Finserv Ltd."/>
        <s v="Bosch Ltd."/>
        <s v="ICICI Securities Ltd."/>
        <s v="Nestle India Ltd."/>
        <s v="Cholamandalam Investment and Finance Company Ltd."/>
        <s v="ICICI Bank Ltd."/>
        <s v="Jindal Steel &amp; Power Ltd."/>
        <s v="Aditya Birla Fashion and Retail Ltd."/>
        <s v="Aditya Birla Capital Ltd."/>
        <s v="Coforge Ltd."/>
        <s v="Indian Railway Catering And Tourism Corporation Ltd."/>
        <s v="Larsen &amp; Toubro Ltd."/>
        <s v="MRF Ltd."/>
        <s v="Adani Ports and Special Economic Zone Ltd."/>
        <s v="NATCO Pharma Ltd."/>
        <s v="Colgate Palmolive (India) Ltd."/>
        <s v="Dr. Reddy's Laboratories Ltd."/>
        <s v="Axis Bank Ltd."/>
        <s v="General Insurance Corporation of India"/>
        <s v="Bombay Burmah Trading Corporation Ltd."/>
        <s v="Castrol India Ltd."/>
      </sharedItems>
    </cacheField>
    <cacheField name="Industry" numFmtId="0">
      <sharedItems count="17">
        <s v="FINANCIAL SERVICES"/>
        <s v="OIL &amp; GAS"/>
        <s v="SERVICES"/>
        <s v="POWER"/>
        <s v="FERTILISERS &amp; PESTICIDES"/>
        <s v="PHARMA"/>
        <s v="CONSUMER GOODS"/>
        <s v="METALS"/>
        <s v="CONSTRUCTION"/>
        <s v="IT"/>
        <s v="AUTOMOBILE"/>
        <s v="CHEMICALS"/>
        <s v="HEALTHCARE SERVICES"/>
        <s v="TELECOM"/>
        <s v="INDUSTRIAL MANUFACTURING"/>
        <s v="CEMENT &amp; CEMENT PRODUCTS"/>
        <s v="TEXTILES"/>
      </sharedItems>
    </cacheField>
    <cacheField name="ISIN Code" numFmtId="0">
      <sharedItems/>
    </cacheField>
    <cacheField name="Number of Factories catered to" numFmtId="0">
      <sharedItems containsSemiMixedTypes="0" containsString="0" containsNumber="1" containsInteger="1" minValue="8" maxValue="1497"/>
    </cacheField>
    <cacheField name="Revenue from Client" numFmtId="2">
      <sharedItems containsSemiMixedTypes="0" containsString="0" containsNumber="1" containsInteger="1" minValue="550" maxValue="92216"/>
    </cacheField>
    <cacheField name="Relationship Manager" numFmtId="0">
      <sharedItems count="34">
        <s v="Abhinav Jain"/>
        <s v="Sumit"/>
        <s v="Taran"/>
        <s v="Sunny"/>
        <s v="Parekh"/>
        <s v="Suneet"/>
        <s v="Kamal"/>
        <s v="Kunal"/>
        <s v="Gautam"/>
        <s v="Malhan"/>
        <s v="Rajat"/>
        <s v="Akshay"/>
        <s v="Jawed"/>
        <s v="Rahul"/>
        <s v="Parth"/>
        <s v="Ruhaan"/>
        <s v="Sonu"/>
        <s v="Sameer"/>
        <s v="Ramesh"/>
        <s v="Ravi"/>
        <s v="Sohail"/>
        <s v="Kavish"/>
        <s v="Suman"/>
        <s v="Sushant"/>
        <s v="Parag"/>
        <s v="Mukesh"/>
        <s v="Lakshay"/>
        <s v="Suresh"/>
        <s v="Dilip"/>
        <s v="Amandeep"/>
        <s v="Rohit"/>
        <s v="Raj"/>
        <s v="Salim"/>
        <s v="Birender"/>
      </sharedItems>
    </cacheField>
  </cacheFields>
  <extLst>
    <ext xmlns:x14="http://schemas.microsoft.com/office/spreadsheetml/2009/9/main" uri="{725AE2AE-9491-48be-B2B4-4EB974FC3084}">
      <x14:pivotCacheDefinition pivotCacheId="6369017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9">
  <r>
    <x v="0"/>
    <x v="0"/>
    <s v="INE031A01017"/>
    <n v="1497"/>
    <n v="92216"/>
    <x v="0"/>
  </r>
  <r>
    <x v="1"/>
    <x v="0"/>
    <s v="INE476A01014"/>
    <n v="1479"/>
    <n v="91107"/>
    <x v="1"/>
  </r>
  <r>
    <x v="2"/>
    <x v="1"/>
    <s v="INE002S01010"/>
    <n v="1464"/>
    <n v="90183"/>
    <x v="2"/>
  </r>
  <r>
    <x v="3"/>
    <x v="2"/>
    <s v="INE053A01029"/>
    <n v="1458"/>
    <n v="89813"/>
    <x v="3"/>
  </r>
  <r>
    <x v="4"/>
    <x v="0"/>
    <s v="INE498L01015"/>
    <n v="1455"/>
    <n v="89628"/>
    <x v="4"/>
  </r>
  <r>
    <x v="5"/>
    <x v="3"/>
    <s v="INE121E01018"/>
    <n v="1455"/>
    <n v="89628"/>
    <x v="4"/>
  </r>
  <r>
    <x v="6"/>
    <x v="0"/>
    <s v="INE180A01020"/>
    <n v="1451"/>
    <n v="89351"/>
    <x v="5"/>
  </r>
  <r>
    <x v="7"/>
    <x v="0"/>
    <s v="INE765G01017"/>
    <n v="1445"/>
    <n v="88982"/>
    <x v="5"/>
  </r>
  <r>
    <x v="8"/>
    <x v="4"/>
    <s v="INE169A01031"/>
    <n v="1419"/>
    <n v="87411"/>
    <x v="6"/>
  </r>
  <r>
    <x v="9"/>
    <x v="1"/>
    <s v="INE129A01019"/>
    <n v="1418"/>
    <n v="87318"/>
    <x v="7"/>
  </r>
  <r>
    <x v="10"/>
    <x v="1"/>
    <s v="INE246F01010"/>
    <n v="1412"/>
    <n v="86949"/>
    <x v="3"/>
  </r>
  <r>
    <x v="11"/>
    <x v="5"/>
    <s v="INE010B01027"/>
    <n v="1412"/>
    <n v="86949"/>
    <x v="8"/>
  </r>
  <r>
    <x v="12"/>
    <x v="0"/>
    <s v="INE092T01019"/>
    <n v="1395"/>
    <n v="85932"/>
    <x v="9"/>
  </r>
  <r>
    <x v="13"/>
    <x v="6"/>
    <s v="INE053A01029"/>
    <n v="1394"/>
    <n v="85840"/>
    <x v="10"/>
  </r>
  <r>
    <x v="14"/>
    <x v="7"/>
    <s v="INE267A01025"/>
    <n v="1391"/>
    <n v="85655"/>
    <x v="11"/>
  </r>
  <r>
    <x v="15"/>
    <x v="6"/>
    <s v="INE299U01018"/>
    <n v="1388"/>
    <n v="85470"/>
    <x v="12"/>
  </r>
  <r>
    <x v="16"/>
    <x v="6"/>
    <s v="INE463A01038"/>
    <n v="1374"/>
    <n v="84639"/>
    <x v="13"/>
  </r>
  <r>
    <x v="17"/>
    <x v="8"/>
    <s v="INE093I01010"/>
    <n v="1368"/>
    <n v="84269"/>
    <x v="14"/>
  </r>
  <r>
    <x v="18"/>
    <x v="6"/>
    <s v="INE752P01024"/>
    <n v="1361"/>
    <n v="83807"/>
    <x v="15"/>
  </r>
  <r>
    <x v="19"/>
    <x v="5"/>
    <s v="INE053A01029"/>
    <n v="1361"/>
    <n v="83807"/>
    <x v="3"/>
  </r>
  <r>
    <x v="20"/>
    <x v="0"/>
    <s v="INE084A01016"/>
    <n v="1337"/>
    <n v="82329"/>
    <x v="16"/>
  </r>
  <r>
    <x v="21"/>
    <x v="5"/>
    <s v="INE571A01020"/>
    <n v="1335"/>
    <n v="82236"/>
    <x v="17"/>
  </r>
  <r>
    <x v="22"/>
    <x v="0"/>
    <s v="INE171A01029"/>
    <n v="1329"/>
    <n v="81867"/>
    <x v="9"/>
  </r>
  <r>
    <x v="23"/>
    <x v="0"/>
    <s v="INE774D01024"/>
    <n v="1325"/>
    <n v="81590"/>
    <x v="9"/>
  </r>
  <r>
    <x v="24"/>
    <x v="0"/>
    <s v="INE274G01010"/>
    <n v="1310"/>
    <n v="80666"/>
    <x v="7"/>
  </r>
  <r>
    <x v="25"/>
    <x v="9"/>
    <s v="INE663F01024"/>
    <n v="1304"/>
    <n v="80296"/>
    <x v="18"/>
  </r>
  <r>
    <x v="26"/>
    <x v="10"/>
    <s v="INE775A01035"/>
    <n v="1286"/>
    <n v="79187"/>
    <x v="19"/>
  </r>
  <r>
    <x v="27"/>
    <x v="8"/>
    <s v="INE271C01023"/>
    <n v="1271"/>
    <n v="78263"/>
    <x v="20"/>
  </r>
  <r>
    <x v="28"/>
    <x v="6"/>
    <s v="INE797F01012"/>
    <n v="1269"/>
    <n v="78171"/>
    <x v="21"/>
  </r>
  <r>
    <x v="29"/>
    <x v="6"/>
    <s v="INE176B01034"/>
    <n v="1251"/>
    <n v="77062"/>
    <x v="22"/>
  </r>
  <r>
    <x v="30"/>
    <x v="5"/>
    <s v="INE358A01014"/>
    <n v="1242"/>
    <n v="76508"/>
    <x v="22"/>
  </r>
  <r>
    <x v="31"/>
    <x v="9"/>
    <s v="INE009A01021"/>
    <n v="1239"/>
    <n v="76323"/>
    <x v="23"/>
  </r>
  <r>
    <x v="32"/>
    <x v="1"/>
    <s v="INE399L01023"/>
    <n v="1220"/>
    <n v="75122"/>
    <x v="12"/>
  </r>
  <r>
    <x v="33"/>
    <x v="2"/>
    <s v="INE423A01024"/>
    <n v="1220"/>
    <n v="75122"/>
    <x v="6"/>
  </r>
  <r>
    <x v="34"/>
    <x v="10"/>
    <s v="INE101A01026"/>
    <n v="1217"/>
    <n v="74937"/>
    <x v="21"/>
  </r>
  <r>
    <x v="35"/>
    <x v="7"/>
    <s v="INE019A01038"/>
    <n v="1205"/>
    <n v="74198"/>
    <x v="24"/>
  </r>
  <r>
    <x v="36"/>
    <x v="0"/>
    <s v="INE095A01012"/>
    <n v="1191"/>
    <n v="73366"/>
    <x v="25"/>
  </r>
  <r>
    <x v="37"/>
    <x v="0"/>
    <s v="INE115A01026"/>
    <n v="1191"/>
    <n v="73366"/>
    <x v="10"/>
  </r>
  <r>
    <x v="38"/>
    <x v="5"/>
    <s v="INE031B01049"/>
    <n v="1185"/>
    <n v="72996"/>
    <x v="1"/>
  </r>
  <r>
    <x v="39"/>
    <x v="6"/>
    <s v="INE021A01026"/>
    <n v="1182"/>
    <n v="72812"/>
    <x v="3"/>
  </r>
  <r>
    <x v="40"/>
    <x v="10"/>
    <s v="INE787D01026"/>
    <n v="1178"/>
    <n v="72534"/>
    <x v="17"/>
  </r>
  <r>
    <x v="41"/>
    <x v="2"/>
    <s v="INE111A01025"/>
    <n v="1176"/>
    <n v="72442"/>
    <x v="22"/>
  </r>
  <r>
    <x v="42"/>
    <x v="5"/>
    <s v="INE406A01037"/>
    <n v="1118"/>
    <n v="72116"/>
    <x v="26"/>
  </r>
  <r>
    <x v="43"/>
    <x v="1"/>
    <s v="INE203G01027"/>
    <n v="1169"/>
    <n v="71980"/>
    <x v="27"/>
  </r>
  <r>
    <x v="44"/>
    <x v="1"/>
    <s v="INE213A01029"/>
    <n v="1112"/>
    <n v="71729"/>
    <x v="19"/>
  </r>
  <r>
    <x v="45"/>
    <x v="11"/>
    <s v="INE769A01020"/>
    <n v="1151"/>
    <n v="70871"/>
    <x v="28"/>
  </r>
  <r>
    <x v="46"/>
    <x v="2"/>
    <s v="INE646L01027"/>
    <n v="1136"/>
    <n v="69947"/>
    <x v="29"/>
  </r>
  <r>
    <x v="47"/>
    <x v="12"/>
    <s v="INE600L01024"/>
    <n v="1083"/>
    <n v="69890"/>
    <x v="30"/>
  </r>
  <r>
    <x v="48"/>
    <x v="6"/>
    <s v="INE016A01026"/>
    <n v="1080"/>
    <n v="69696"/>
    <x v="14"/>
  </r>
  <r>
    <x v="49"/>
    <x v="1"/>
    <s v="INE242A01010"/>
    <n v="1079"/>
    <n v="69600"/>
    <x v="26"/>
  </r>
  <r>
    <x v="50"/>
    <x v="6"/>
    <s v="INE030A01027"/>
    <n v="1034"/>
    <n v="66696"/>
    <x v="20"/>
  </r>
  <r>
    <x v="51"/>
    <x v="5"/>
    <s v="INE540L01014"/>
    <n v="1034"/>
    <n v="66696"/>
    <x v="14"/>
  </r>
  <r>
    <x v="52"/>
    <x v="10"/>
    <s v="INE302A01020"/>
    <n v="998"/>
    <n v="64372"/>
    <x v="15"/>
  </r>
  <r>
    <x v="53"/>
    <x v="4"/>
    <s v="INE603J01030"/>
    <n v="993"/>
    <n v="64082"/>
    <x v="31"/>
  </r>
  <r>
    <x v="54"/>
    <x v="5"/>
    <s v="INE376G01013"/>
    <n v="990"/>
    <n v="63888"/>
    <x v="26"/>
  </r>
  <r>
    <x v="55"/>
    <x v="10"/>
    <s v="INE208A01029"/>
    <n v="977"/>
    <n v="63017"/>
    <x v="7"/>
  </r>
  <r>
    <x v="56"/>
    <x v="12"/>
    <s v="INE437A01024"/>
    <n v="968"/>
    <n v="62436"/>
    <x v="10"/>
  </r>
  <r>
    <x v="57"/>
    <x v="6"/>
    <s v="INE192R01011"/>
    <n v="965"/>
    <n v="62243"/>
    <x v="2"/>
  </r>
  <r>
    <x v="58"/>
    <x v="13"/>
    <s v="INE397D01024"/>
    <n v="965"/>
    <n v="62243"/>
    <x v="7"/>
  </r>
  <r>
    <x v="59"/>
    <x v="14"/>
    <s v="INE263A01024"/>
    <n v="956"/>
    <n v="61662"/>
    <x v="8"/>
  </r>
  <r>
    <x v="60"/>
    <x v="7"/>
    <s v="INE522F01014"/>
    <n v="954"/>
    <n v="61565"/>
    <x v="30"/>
  </r>
  <r>
    <x v="61"/>
    <x v="3"/>
    <s v="INE733E01010"/>
    <n v="950"/>
    <n v="61275"/>
    <x v="22"/>
  </r>
  <r>
    <x v="62"/>
    <x v="1"/>
    <s v="INE029A01011"/>
    <n v="933"/>
    <n v="60210"/>
    <x v="15"/>
  </r>
  <r>
    <x v="63"/>
    <x v="9"/>
    <s v="INE010V01017"/>
    <n v="927"/>
    <n v="59823"/>
    <x v="9"/>
  </r>
  <r>
    <x v="64"/>
    <x v="0"/>
    <s v="INE532F01054"/>
    <n v="914"/>
    <n v="58952"/>
    <x v="28"/>
  </r>
  <r>
    <x v="65"/>
    <x v="6"/>
    <s v="INE233A01035"/>
    <n v="906"/>
    <n v="58468"/>
    <x v="9"/>
  </r>
  <r>
    <x v="66"/>
    <x v="0"/>
    <s v="INE028A01039"/>
    <n v="902"/>
    <n v="58177"/>
    <x v="24"/>
  </r>
  <r>
    <x v="67"/>
    <x v="3"/>
    <s v="INE364U01010"/>
    <n v="887"/>
    <n v="57209"/>
    <x v="32"/>
  </r>
  <r>
    <x v="68"/>
    <x v="14"/>
    <s v="INE257A01026"/>
    <n v="875"/>
    <n v="56435"/>
    <x v="10"/>
  </r>
  <r>
    <x v="69"/>
    <x v="10"/>
    <s v="INE066A01021"/>
    <n v="863"/>
    <n v="55660"/>
    <x v="13"/>
  </r>
  <r>
    <x v="70"/>
    <x v="9"/>
    <s v="INE018I01017"/>
    <n v="846"/>
    <n v="54596"/>
    <x v="14"/>
  </r>
  <r>
    <x v="71"/>
    <x v="7"/>
    <s v="INE584A01023"/>
    <n v="830"/>
    <n v="53531"/>
    <x v="28"/>
  </r>
  <r>
    <x v="72"/>
    <x v="14"/>
    <s v="INE298A01020"/>
    <n v="819"/>
    <n v="52853"/>
    <x v="32"/>
  </r>
  <r>
    <x v="73"/>
    <x v="9"/>
    <s v="INE881D01027"/>
    <n v="818"/>
    <n v="52756"/>
    <x v="30"/>
  </r>
  <r>
    <x v="74"/>
    <x v="3"/>
    <s v="INE486A01013"/>
    <n v="804"/>
    <n v="51885"/>
    <x v="13"/>
  </r>
  <r>
    <x v="75"/>
    <x v="15"/>
    <s v="INE00R701025"/>
    <n v="744"/>
    <n v="51287"/>
    <x v="19"/>
  </r>
  <r>
    <x v="76"/>
    <x v="0"/>
    <s v="INE148I01020"/>
    <n v="741"/>
    <n v="51080"/>
    <x v="15"/>
  </r>
  <r>
    <x v="77"/>
    <x v="10"/>
    <s v="INE585B01010"/>
    <n v="783"/>
    <n v="50530"/>
    <x v="1"/>
  </r>
  <r>
    <x v="78"/>
    <x v="14"/>
    <s v="INE465A01025"/>
    <n v="729"/>
    <n v="50253"/>
    <x v="9"/>
  </r>
  <r>
    <x v="79"/>
    <x v="6"/>
    <s v="INE176A01028"/>
    <n v="716"/>
    <n v="49322"/>
    <x v="21"/>
  </r>
  <r>
    <x v="80"/>
    <x v="7"/>
    <s v="INE038A01020"/>
    <n v="699"/>
    <n v="48185"/>
    <x v="12"/>
  </r>
  <r>
    <x v="81"/>
    <x v="1"/>
    <s v="INE844O01030"/>
    <n v="689"/>
    <n v="47461"/>
    <x v="7"/>
  </r>
  <r>
    <x v="82"/>
    <x v="6"/>
    <s v="INE548C01032"/>
    <n v="686"/>
    <n v="47254"/>
    <x v="8"/>
  </r>
  <r>
    <x v="83"/>
    <x v="8"/>
    <s v="INE484J01027"/>
    <n v="680"/>
    <n v="46841"/>
    <x v="10"/>
  </r>
  <r>
    <x v="84"/>
    <x v="12"/>
    <s v="INE061F01013"/>
    <n v="677"/>
    <n v="46634"/>
    <x v="10"/>
  </r>
  <r>
    <x v="85"/>
    <x v="0"/>
    <s v="INE726G01019"/>
    <n v="669"/>
    <n v="46117"/>
    <x v="14"/>
  </r>
  <r>
    <x v="86"/>
    <x v="0"/>
    <s v="INE795G01014"/>
    <n v="663"/>
    <n v="45703"/>
    <x v="28"/>
  </r>
  <r>
    <x v="87"/>
    <x v="15"/>
    <s v="INE047A01021"/>
    <n v="651"/>
    <n v="44876"/>
    <x v="15"/>
  </r>
  <r>
    <x v="88"/>
    <x v="10"/>
    <s v="INE158A01026"/>
    <n v="621"/>
    <n v="42808"/>
    <x v="6"/>
  </r>
  <r>
    <x v="89"/>
    <x v="0"/>
    <s v="INE001A01036"/>
    <n v="621"/>
    <n v="42808"/>
    <x v="33"/>
  </r>
  <r>
    <x v="90"/>
    <x v="10"/>
    <s v="INE042A01014"/>
    <n v="612"/>
    <n v="42188"/>
    <x v="10"/>
  </r>
  <r>
    <x v="91"/>
    <x v="13"/>
    <s v="INE121J01017"/>
    <n v="600"/>
    <n v="41360"/>
    <x v="3"/>
  </r>
  <r>
    <x v="92"/>
    <x v="1"/>
    <s v="INE094A01015"/>
    <n v="581"/>
    <n v="40016"/>
    <x v="32"/>
  </r>
  <r>
    <x v="93"/>
    <x v="10"/>
    <s v="INE913H01037"/>
    <n v="576"/>
    <n v="39706"/>
    <x v="9"/>
  </r>
  <r>
    <x v="94"/>
    <x v="0"/>
    <s v="INE545U01014"/>
    <n v="570"/>
    <n v="39292"/>
    <x v="4"/>
  </r>
  <r>
    <x v="95"/>
    <x v="15"/>
    <s v="INE079A01024"/>
    <n v="555"/>
    <n v="38258"/>
    <x v="9"/>
  </r>
  <r>
    <x v="96"/>
    <x v="6"/>
    <s v="INE102D01028"/>
    <n v="536"/>
    <n v="36914"/>
    <x v="8"/>
  </r>
  <r>
    <x v="97"/>
    <x v="10"/>
    <s v="INE438A01022"/>
    <n v="519"/>
    <n v="35777"/>
    <x v="15"/>
  </r>
  <r>
    <x v="98"/>
    <x v="0"/>
    <s v="INE040A01034"/>
    <n v="519"/>
    <n v="35777"/>
    <x v="31"/>
  </r>
  <r>
    <x v="99"/>
    <x v="6"/>
    <s v="INE850D01014"/>
    <n v="485"/>
    <n v="33399"/>
    <x v="27"/>
  </r>
  <r>
    <x v="100"/>
    <x v="15"/>
    <s v="INE012A01025"/>
    <n v="464"/>
    <n v="31951"/>
    <x v="30"/>
  </r>
  <r>
    <x v="101"/>
    <x v="0"/>
    <s v="INE118A01012"/>
    <n v="458"/>
    <n v="31537"/>
    <x v="29"/>
  </r>
  <r>
    <x v="102"/>
    <x v="9"/>
    <s v="INE356A01018"/>
    <n v="455"/>
    <n v="31331"/>
    <x v="9"/>
  </r>
  <r>
    <x v="103"/>
    <x v="0"/>
    <s v="INE414G01012"/>
    <n v="435"/>
    <n v="29986"/>
    <x v="30"/>
  </r>
  <r>
    <x v="104"/>
    <x v="0"/>
    <s v="INE491A01021"/>
    <n v="428"/>
    <n v="29469"/>
    <x v="9"/>
  </r>
  <r>
    <x v="105"/>
    <x v="16"/>
    <s v="INE761H01022"/>
    <n v="422"/>
    <n v="29056"/>
    <x v="28"/>
  </r>
  <r>
    <x v="106"/>
    <x v="9"/>
    <s v="INE214T01019"/>
    <n v="419"/>
    <n v="28849"/>
    <x v="15"/>
  </r>
  <r>
    <x v="107"/>
    <x v="5"/>
    <s v="INE059A01026"/>
    <n v="417"/>
    <n v="28746"/>
    <x v="19"/>
  </r>
  <r>
    <x v="108"/>
    <x v="8"/>
    <s v="INE776C01039"/>
    <n v="390"/>
    <n v="26884"/>
    <x v="3"/>
  </r>
  <r>
    <x v="109"/>
    <x v="0"/>
    <s v="INE298J01013"/>
    <n v="357"/>
    <n v="24610"/>
    <x v="20"/>
  </r>
  <r>
    <x v="110"/>
    <x v="0"/>
    <s v="INE522D01027"/>
    <n v="351"/>
    <n v="24196"/>
    <x v="13"/>
  </r>
  <r>
    <x v="111"/>
    <x v="5"/>
    <s v="INE361B01024"/>
    <n v="345"/>
    <n v="23782"/>
    <x v="9"/>
  </r>
  <r>
    <x v="112"/>
    <x v="5"/>
    <s v="INE935A01035"/>
    <n v="339"/>
    <n v="23369"/>
    <x v="2"/>
  </r>
  <r>
    <x v="113"/>
    <x v="6"/>
    <s v="INE216A01030"/>
    <n v="336"/>
    <n v="23162"/>
    <x v="21"/>
  </r>
  <r>
    <x v="114"/>
    <x v="0"/>
    <s v="INE237A01028"/>
    <n v="309"/>
    <n v="21301"/>
    <x v="13"/>
  </r>
  <r>
    <x v="115"/>
    <x v="10"/>
    <s v="INE917I01010"/>
    <n v="285"/>
    <n v="19646"/>
    <x v="25"/>
  </r>
  <r>
    <x v="116"/>
    <x v="0"/>
    <s v="INE127D01025"/>
    <n v="279"/>
    <n v="19233"/>
    <x v="30"/>
  </r>
  <r>
    <x v="117"/>
    <x v="1"/>
    <s v="INE274J01014"/>
    <n v="278"/>
    <n v="19129"/>
    <x v="9"/>
  </r>
  <r>
    <x v="118"/>
    <x v="7"/>
    <s v="INE139A01034"/>
    <n v="269"/>
    <n v="18509"/>
    <x v="6"/>
  </r>
  <r>
    <x v="119"/>
    <x v="5"/>
    <s v="INE901L01018"/>
    <n v="249"/>
    <n v="17165"/>
    <x v="5"/>
  </r>
  <r>
    <x v="120"/>
    <x v="0"/>
    <s v="INE949L01017"/>
    <n v="243"/>
    <n v="16751"/>
    <x v="31"/>
  </r>
  <r>
    <x v="121"/>
    <x v="6"/>
    <s v="INE196A01026"/>
    <n v="236"/>
    <n v="16234"/>
    <x v="8"/>
  </r>
  <r>
    <x v="122"/>
    <x v="11"/>
    <s v="INE048G01026"/>
    <n v="231"/>
    <n v="15924"/>
    <x v="12"/>
  </r>
  <r>
    <x v="123"/>
    <x v="10"/>
    <s v="INE885A01032"/>
    <n v="218"/>
    <n v="14993"/>
    <x v="19"/>
  </r>
  <r>
    <x v="124"/>
    <x v="9"/>
    <s v="INE860A01027"/>
    <n v="197"/>
    <n v="13546"/>
    <x v="26"/>
  </r>
  <r>
    <x v="125"/>
    <x v="3"/>
    <s v="INE931S01010"/>
    <n v="195"/>
    <n v="13442"/>
    <x v="11"/>
  </r>
  <r>
    <x v="126"/>
    <x v="1"/>
    <s v="INE347G01014"/>
    <n v="182"/>
    <n v="12512"/>
    <x v="13"/>
  </r>
  <r>
    <x v="127"/>
    <x v="0"/>
    <s v="INE296A01024"/>
    <n v="176"/>
    <n v="12098"/>
    <x v="18"/>
  </r>
  <r>
    <x v="128"/>
    <x v="0"/>
    <s v="INE918I01018"/>
    <n v="176"/>
    <n v="12098"/>
    <x v="23"/>
  </r>
  <r>
    <x v="129"/>
    <x v="10"/>
    <s v="INE323A01026"/>
    <n v="168"/>
    <n v="11581"/>
    <x v="16"/>
  </r>
  <r>
    <x v="130"/>
    <x v="0"/>
    <s v="INE763G01038"/>
    <n v="168"/>
    <n v="11581"/>
    <x v="19"/>
  </r>
  <r>
    <x v="131"/>
    <x v="6"/>
    <s v="INE239A01016"/>
    <n v="159"/>
    <n v="10961"/>
    <x v="32"/>
  </r>
  <r>
    <x v="132"/>
    <x v="0"/>
    <s v="INE121A01024"/>
    <n v="158"/>
    <n v="10857"/>
    <x v="14"/>
  </r>
  <r>
    <x v="133"/>
    <x v="0"/>
    <s v="INE090A01021"/>
    <n v="143"/>
    <n v="10450"/>
    <x v="1"/>
  </r>
  <r>
    <x v="134"/>
    <x v="7"/>
    <s v="INE749A01030"/>
    <n v="138"/>
    <n v="10120"/>
    <x v="16"/>
  </r>
  <r>
    <x v="135"/>
    <x v="6"/>
    <s v="INE647O01011"/>
    <n v="134"/>
    <n v="9790"/>
    <x v="33"/>
  </r>
  <r>
    <x v="136"/>
    <x v="0"/>
    <s v="INE674K01013"/>
    <n v="132"/>
    <n v="9680"/>
    <x v="0"/>
  </r>
  <r>
    <x v="137"/>
    <x v="9"/>
    <s v="INE591G01017"/>
    <n v="128"/>
    <n v="9350"/>
    <x v="31"/>
  </r>
  <r>
    <x v="138"/>
    <x v="2"/>
    <s v="INE335Y01012"/>
    <n v="119"/>
    <n v="8690"/>
    <x v="2"/>
  </r>
  <r>
    <x v="139"/>
    <x v="8"/>
    <s v="INE018A01030"/>
    <n v="95"/>
    <n v="6930"/>
    <x v="7"/>
  </r>
  <r>
    <x v="140"/>
    <x v="10"/>
    <s v="INE883A01011"/>
    <n v="78"/>
    <n v="5720"/>
    <x v="26"/>
  </r>
  <r>
    <x v="141"/>
    <x v="2"/>
    <s v="INE742F01042"/>
    <n v="72"/>
    <n v="5280"/>
    <x v="20"/>
  </r>
  <r>
    <x v="142"/>
    <x v="5"/>
    <s v="INE987B01026"/>
    <n v="62"/>
    <n v="4510"/>
    <x v="31"/>
  </r>
  <r>
    <x v="143"/>
    <x v="6"/>
    <s v="INE259A01022"/>
    <n v="48"/>
    <n v="3520"/>
    <x v="28"/>
  </r>
  <r>
    <x v="144"/>
    <x v="5"/>
    <s v="INE089A01023"/>
    <n v="45"/>
    <n v="3300"/>
    <x v="31"/>
  </r>
  <r>
    <x v="145"/>
    <x v="0"/>
    <s v="INE238A01034"/>
    <n v="35"/>
    <n v="2530"/>
    <x v="27"/>
  </r>
  <r>
    <x v="146"/>
    <x v="0"/>
    <s v="INE481Y01014"/>
    <n v="30"/>
    <n v="2200"/>
    <x v="26"/>
  </r>
  <r>
    <x v="147"/>
    <x v="6"/>
    <s v="INE050A01025"/>
    <n v="21"/>
    <n v="1540"/>
    <x v="2"/>
  </r>
  <r>
    <x v="148"/>
    <x v="1"/>
    <s v="INE172A01027"/>
    <n v="8"/>
    <n v="550"/>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24933B-1A7A-4E69-AF84-21407E4F05BC}"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3:B14" firstHeaderRow="1" firstDataRow="1" firstDataCol="1"/>
  <pivotFields count="6">
    <pivotField axis="axisRow" showAll="0">
      <items count="150">
        <item x="45"/>
        <item x="30"/>
        <item x="100"/>
        <item x="33"/>
        <item x="32"/>
        <item x="67"/>
        <item x="141"/>
        <item x="125"/>
        <item x="136"/>
        <item x="135"/>
        <item x="38"/>
        <item x="119"/>
        <item x="51"/>
        <item x="123"/>
        <item x="95"/>
        <item x="56"/>
        <item x="97"/>
        <item x="55"/>
        <item x="39"/>
        <item x="120"/>
        <item x="42"/>
        <item x="57"/>
        <item x="145"/>
        <item x="115"/>
        <item x="127"/>
        <item x="128"/>
        <item x="101"/>
        <item x="40"/>
        <item x="94"/>
        <item x="66"/>
        <item x="20"/>
        <item x="79"/>
        <item x="16"/>
        <item x="59"/>
        <item x="78"/>
        <item x="68"/>
        <item x="62"/>
        <item x="58"/>
        <item x="91"/>
        <item x="54"/>
        <item x="147"/>
        <item x="129"/>
        <item x="113"/>
        <item x="11"/>
        <item x="1"/>
        <item x="148"/>
        <item x="74"/>
        <item x="132"/>
        <item x="107"/>
        <item x="104"/>
        <item x="60"/>
        <item x="137"/>
        <item x="143"/>
        <item x="41"/>
        <item x="8"/>
        <item x="15"/>
        <item x="72"/>
        <item x="48"/>
        <item x="75"/>
        <item x="111"/>
        <item x="27"/>
        <item x="47"/>
        <item x="144"/>
        <item x="64"/>
        <item x="69"/>
        <item x="82"/>
        <item x="93"/>
        <item x="90"/>
        <item x="52"/>
        <item x="22"/>
        <item x="84"/>
        <item x="18"/>
        <item x="9"/>
        <item x="146"/>
        <item x="112"/>
        <item x="108"/>
        <item x="99"/>
        <item x="96"/>
        <item x="65"/>
        <item x="83"/>
        <item x="87"/>
        <item x="81"/>
        <item x="10"/>
        <item x="29"/>
        <item x="124"/>
        <item x="116"/>
        <item x="98"/>
        <item x="86"/>
        <item x="88"/>
        <item x="80"/>
        <item x="92"/>
        <item x="50"/>
        <item x="14"/>
        <item x="0"/>
        <item x="89"/>
        <item x="133"/>
        <item x="7"/>
        <item x="85"/>
        <item x="130"/>
        <item x="12"/>
        <item x="76"/>
        <item x="24"/>
        <item x="3"/>
        <item x="49"/>
        <item x="138"/>
        <item x="43"/>
        <item x="36"/>
        <item x="25"/>
        <item x="31"/>
        <item x="46"/>
        <item x="21"/>
        <item x="13"/>
        <item x="134"/>
        <item x="5"/>
        <item x="35"/>
        <item x="28"/>
        <item x="114"/>
        <item x="4"/>
        <item x="63"/>
        <item x="106"/>
        <item x="139"/>
        <item x="37"/>
        <item x="19"/>
        <item x="2"/>
        <item x="23"/>
        <item x="34"/>
        <item x="110"/>
        <item x="121"/>
        <item x="77"/>
        <item x="6"/>
        <item x="70"/>
        <item x="26"/>
        <item x="102"/>
        <item x="140"/>
        <item x="103"/>
        <item x="142"/>
        <item x="118"/>
        <item x="122"/>
        <item x="131"/>
        <item x="109"/>
        <item x="71"/>
        <item x="61"/>
        <item x="17"/>
        <item x="44"/>
        <item x="117"/>
        <item x="73"/>
        <item x="105"/>
        <item x="126"/>
        <item x="53"/>
        <item t="default"/>
      </items>
    </pivotField>
    <pivotField axis="axisRow" showAll="0">
      <items count="18">
        <item x="10"/>
        <item x="15"/>
        <item x="11"/>
        <item x="8"/>
        <item x="6"/>
        <item x="4"/>
        <item x="0"/>
        <item x="12"/>
        <item x="14"/>
        <item x="9"/>
        <item x="7"/>
        <item x="1"/>
        <item x="5"/>
        <item x="3"/>
        <item x="2"/>
        <item x="13"/>
        <item x="16"/>
        <item t="default"/>
      </items>
    </pivotField>
    <pivotField showAll="0"/>
    <pivotField showAll="0"/>
    <pivotField dataField="1" numFmtId="2" showAll="0"/>
    <pivotField showAll="0">
      <items count="35">
        <item h="1" x="0"/>
        <item h="1" x="11"/>
        <item h="1" x="29"/>
        <item h="1" x="33"/>
        <item h="1" x="28"/>
        <item h="1" x="8"/>
        <item h="1" x="12"/>
        <item h="1" x="6"/>
        <item h="1" x="21"/>
        <item h="1" x="7"/>
        <item h="1" x="26"/>
        <item h="1" x="9"/>
        <item h="1" x="25"/>
        <item h="1" x="24"/>
        <item h="1" x="4"/>
        <item h="1" x="14"/>
        <item h="1" x="13"/>
        <item h="1" x="31"/>
        <item h="1" x="10"/>
        <item h="1" x="18"/>
        <item h="1" x="19"/>
        <item x="30"/>
        <item h="1" x="15"/>
        <item h="1" x="32"/>
        <item h="1" x="17"/>
        <item h="1" x="20"/>
        <item h="1" x="16"/>
        <item h="1" x="22"/>
        <item h="1" x="1"/>
        <item h="1" x="5"/>
        <item h="1" x="3"/>
        <item h="1" x="27"/>
        <item h="1" x="23"/>
        <item h="1" x="2"/>
        <item t="default"/>
      </items>
    </pivotField>
  </pivotFields>
  <rowFields count="2">
    <field x="1"/>
    <field x="0"/>
  </rowFields>
  <rowItems count="11">
    <i>
      <x v="1"/>
    </i>
    <i r="1">
      <x v="2"/>
    </i>
    <i>
      <x v="6"/>
    </i>
    <i r="1">
      <x v="85"/>
    </i>
    <i r="1">
      <x v="134"/>
    </i>
    <i>
      <x v="7"/>
    </i>
    <i r="1">
      <x v="61"/>
    </i>
    <i>
      <x v="9"/>
    </i>
    <i r="1">
      <x v="145"/>
    </i>
    <i>
      <x v="10"/>
    </i>
    <i r="1">
      <x v="50"/>
    </i>
  </rowItems>
  <colItems count="1">
    <i/>
  </colItems>
  <dataFields count="1">
    <dataField name="Sum of Revenue from Client" fld="4" baseField="0" baseItem="0" numFmtId="2"/>
  </dataFields>
  <formats count="17">
    <format dxfId="51">
      <pivotArea type="all" dataOnly="0" outline="0" fieldPosition="0"/>
    </format>
    <format dxfId="50">
      <pivotArea outline="0" collapsedLevelsAreSubtotals="1" fieldPosition="0"/>
    </format>
    <format dxfId="49">
      <pivotArea field="1" type="button" dataOnly="0" labelOnly="1" outline="0" axis="axisRow" fieldPosition="0"/>
    </format>
    <format dxfId="48">
      <pivotArea dataOnly="0" labelOnly="1" grandRow="1" outline="0" fieldPosition="0"/>
    </format>
    <format dxfId="47">
      <pivotArea dataOnly="0" labelOnly="1" outline="0" axis="axisValues" fieldPosition="0"/>
    </format>
    <format dxfId="46">
      <pivotArea type="all" dataOnly="0" outline="0" fieldPosition="0"/>
    </format>
    <format dxfId="45">
      <pivotArea outline="0" collapsedLevelsAreSubtotals="1" fieldPosition="0"/>
    </format>
    <format dxfId="44">
      <pivotArea field="1" type="button" dataOnly="0" labelOnly="1" outline="0" axis="axisRow" fieldPosition="0"/>
    </format>
    <format dxfId="43">
      <pivotArea dataOnly="0" labelOnly="1" grandRow="1" outline="0" fieldPosition="0"/>
    </format>
    <format dxfId="42">
      <pivotArea dataOnly="0" labelOnly="1" outline="0" axis="axisValues" fieldPosition="0"/>
    </format>
    <format dxfId="41">
      <pivotArea type="all" dataOnly="0" outline="0" fieldPosition="0"/>
    </format>
    <format dxfId="40">
      <pivotArea outline="0" collapsedLevelsAreSubtotals="1" fieldPosition="0"/>
    </format>
    <format dxfId="39">
      <pivotArea field="1" type="button" dataOnly="0" labelOnly="1" outline="0" axis="axisRow" fieldPosition="0"/>
    </format>
    <format dxfId="38">
      <pivotArea dataOnly="0" labelOnly="1" grandRow="1" outline="0" fieldPosition="0"/>
    </format>
    <format dxfId="37">
      <pivotArea dataOnly="0" labelOnly="1" outline="0" axis="axisValues" fieldPosition="0"/>
    </format>
    <format dxfId="36">
      <pivotArea grandRow="1" outline="0" collapsedLevelsAreSubtotals="1" fieldPosition="0"/>
    </format>
    <format dxfId="35">
      <pivotArea type="all" dataOnly="0" outline="0" fieldPosition="0"/>
    </format>
  </formats>
  <chartFormats count="34">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2">
          <reference field="4294967294" count="1" selected="0">
            <x v="0"/>
          </reference>
          <reference field="1" count="1" selected="0">
            <x v="4"/>
          </reference>
        </references>
      </pivotArea>
    </chartFormat>
    <chartFormat chart="1" format="2" series="1">
      <pivotArea type="data" outline="0" fieldPosition="0">
        <references count="2">
          <reference field="4294967294" count="1" selected="0">
            <x v="0"/>
          </reference>
          <reference field="1" count="1" selected="0">
            <x v="4"/>
          </reference>
        </references>
      </pivotArea>
    </chartFormat>
    <chartFormat chart="2" format="4" series="1">
      <pivotArea type="data" outline="0" fieldPosition="0">
        <references count="2">
          <reference field="4294967294" count="1" selected="0">
            <x v="0"/>
          </reference>
          <reference field="1" count="1" selected="0">
            <x v="2"/>
          </reference>
        </references>
      </pivotArea>
    </chartFormat>
    <chartFormat chart="2" format="5" series="1">
      <pivotArea type="data" outline="0" fieldPosition="0">
        <references count="2">
          <reference field="4294967294" count="1" selected="0">
            <x v="0"/>
          </reference>
          <reference field="1" count="1" selected="0">
            <x v="3"/>
          </reference>
        </references>
      </pivotArea>
    </chartFormat>
    <chartFormat chart="2" format="6" series="1">
      <pivotArea type="data" outline="0" fieldPosition="0">
        <references count="2">
          <reference field="4294967294" count="1" selected="0">
            <x v="0"/>
          </reference>
          <reference field="1" count="1" selected="0">
            <x v="5"/>
          </reference>
        </references>
      </pivotArea>
    </chartFormat>
    <chartFormat chart="2" format="7" series="1">
      <pivotArea type="data" outline="0" fieldPosition="0">
        <references count="2">
          <reference field="4294967294" count="1" selected="0">
            <x v="0"/>
          </reference>
          <reference field="1" count="1" selected="0">
            <x v="6"/>
          </reference>
        </references>
      </pivotArea>
    </chartFormat>
    <chartFormat chart="2" format="8" series="1">
      <pivotArea type="data" outline="0" fieldPosition="0">
        <references count="2">
          <reference field="4294967294" count="1" selected="0">
            <x v="0"/>
          </reference>
          <reference field="1" count="1" selected="0">
            <x v="7"/>
          </reference>
        </references>
      </pivotArea>
    </chartFormat>
    <chartFormat chart="2" format="9" series="1">
      <pivotArea type="data" outline="0" fieldPosition="0">
        <references count="2">
          <reference field="4294967294" count="1" selected="0">
            <x v="0"/>
          </reference>
          <reference field="1" count="1" selected="0">
            <x v="8"/>
          </reference>
        </references>
      </pivotArea>
    </chartFormat>
    <chartFormat chart="2" format="10" series="1">
      <pivotArea type="data" outline="0" fieldPosition="0">
        <references count="2">
          <reference field="4294967294" count="1" selected="0">
            <x v="0"/>
          </reference>
          <reference field="1" count="1" selected="0">
            <x v="9"/>
          </reference>
        </references>
      </pivotArea>
    </chartFormat>
    <chartFormat chart="2" format="11" series="1">
      <pivotArea type="data" outline="0" fieldPosition="0">
        <references count="2">
          <reference field="4294967294" count="1" selected="0">
            <x v="0"/>
          </reference>
          <reference field="1" count="1" selected="0">
            <x v="10"/>
          </reference>
        </references>
      </pivotArea>
    </chartFormat>
    <chartFormat chart="2" format="12" series="1">
      <pivotArea type="data" outline="0" fieldPosition="0">
        <references count="2">
          <reference field="4294967294" count="1" selected="0">
            <x v="0"/>
          </reference>
          <reference field="1" count="1" selected="0">
            <x v="11"/>
          </reference>
        </references>
      </pivotArea>
    </chartFormat>
    <chartFormat chart="2" format="13" series="1">
      <pivotArea type="data" outline="0" fieldPosition="0">
        <references count="2">
          <reference field="4294967294" count="1" selected="0">
            <x v="0"/>
          </reference>
          <reference field="1" count="1" selected="0">
            <x v="12"/>
          </reference>
        </references>
      </pivotArea>
    </chartFormat>
    <chartFormat chart="2" format="14" series="1">
      <pivotArea type="data" outline="0" fieldPosition="0">
        <references count="2">
          <reference field="4294967294" count="1" selected="0">
            <x v="0"/>
          </reference>
          <reference field="1" count="1" selected="0">
            <x v="13"/>
          </reference>
        </references>
      </pivotArea>
    </chartFormat>
    <chartFormat chart="2" format="15" series="1">
      <pivotArea type="data" outline="0" fieldPosition="0">
        <references count="2">
          <reference field="4294967294" count="1" selected="0">
            <x v="0"/>
          </reference>
          <reference field="1" count="1" selected="0">
            <x v="14"/>
          </reference>
        </references>
      </pivotArea>
    </chartFormat>
    <chartFormat chart="2" format="16" series="1">
      <pivotArea type="data" outline="0" fieldPosition="0">
        <references count="2">
          <reference field="4294967294" count="1" selected="0">
            <x v="0"/>
          </reference>
          <reference field="1" count="1" selected="0">
            <x v="15"/>
          </reference>
        </references>
      </pivotArea>
    </chartFormat>
    <chartFormat chart="2" format="17" series="1">
      <pivotArea type="data" outline="0" fieldPosition="0">
        <references count="2">
          <reference field="4294967294" count="1" selected="0">
            <x v="0"/>
          </reference>
          <reference field="1" count="1" selected="0">
            <x v="16"/>
          </reference>
        </references>
      </pivotArea>
    </chartFormat>
    <chartFormat chart="1" format="3" series="1">
      <pivotArea type="data" outline="0" fieldPosition="0">
        <references count="2">
          <reference field="4294967294" count="1" selected="0">
            <x v="0"/>
          </reference>
          <reference field="1" count="1" selected="0">
            <x v="2"/>
          </reference>
        </references>
      </pivotArea>
    </chartFormat>
    <chartFormat chart="1" format="4" series="1">
      <pivotArea type="data" outline="0" fieldPosition="0">
        <references count="2">
          <reference field="4294967294" count="1" selected="0">
            <x v="0"/>
          </reference>
          <reference field="1" count="1" selected="0">
            <x v="3"/>
          </reference>
        </references>
      </pivotArea>
    </chartFormat>
    <chartFormat chart="1" format="5" series="1">
      <pivotArea type="data" outline="0" fieldPosition="0">
        <references count="2">
          <reference field="4294967294" count="1" selected="0">
            <x v="0"/>
          </reference>
          <reference field="1" count="1" selected="0">
            <x v="5"/>
          </reference>
        </references>
      </pivotArea>
    </chartFormat>
    <chartFormat chart="1" format="6" series="1">
      <pivotArea type="data" outline="0" fieldPosition="0">
        <references count="2">
          <reference field="4294967294" count="1" selected="0">
            <x v="0"/>
          </reference>
          <reference field="1" count="1" selected="0">
            <x v="6"/>
          </reference>
        </references>
      </pivotArea>
    </chartFormat>
    <chartFormat chart="1" format="7" series="1">
      <pivotArea type="data" outline="0" fieldPosition="0">
        <references count="2">
          <reference field="4294967294" count="1" selected="0">
            <x v="0"/>
          </reference>
          <reference field="1" count="1" selected="0">
            <x v="7"/>
          </reference>
        </references>
      </pivotArea>
    </chartFormat>
    <chartFormat chart="1" format="8" series="1">
      <pivotArea type="data" outline="0" fieldPosition="0">
        <references count="2">
          <reference field="4294967294" count="1" selected="0">
            <x v="0"/>
          </reference>
          <reference field="1" count="1" selected="0">
            <x v="8"/>
          </reference>
        </references>
      </pivotArea>
    </chartFormat>
    <chartFormat chart="1" format="9" series="1">
      <pivotArea type="data" outline="0" fieldPosition="0">
        <references count="2">
          <reference field="4294967294" count="1" selected="0">
            <x v="0"/>
          </reference>
          <reference field="1" count="1" selected="0">
            <x v="9"/>
          </reference>
        </references>
      </pivotArea>
    </chartFormat>
    <chartFormat chart="1" format="10" series="1">
      <pivotArea type="data" outline="0" fieldPosition="0">
        <references count="2">
          <reference field="4294967294" count="1" selected="0">
            <x v="0"/>
          </reference>
          <reference field="1" count="1" selected="0">
            <x v="10"/>
          </reference>
        </references>
      </pivotArea>
    </chartFormat>
    <chartFormat chart="1" format="11" series="1">
      <pivotArea type="data" outline="0" fieldPosition="0">
        <references count="2">
          <reference field="4294967294" count="1" selected="0">
            <x v="0"/>
          </reference>
          <reference field="1" count="1" selected="0">
            <x v="11"/>
          </reference>
        </references>
      </pivotArea>
    </chartFormat>
    <chartFormat chart="1" format="12" series="1">
      <pivotArea type="data" outline="0" fieldPosition="0">
        <references count="2">
          <reference field="4294967294" count="1" selected="0">
            <x v="0"/>
          </reference>
          <reference field="1" count="1" selected="0">
            <x v="12"/>
          </reference>
        </references>
      </pivotArea>
    </chartFormat>
    <chartFormat chart="1" format="13" series="1">
      <pivotArea type="data" outline="0" fieldPosition="0">
        <references count="2">
          <reference field="4294967294" count="1" selected="0">
            <x v="0"/>
          </reference>
          <reference field="1" count="1" selected="0">
            <x v="13"/>
          </reference>
        </references>
      </pivotArea>
    </chartFormat>
    <chartFormat chart="1" format="14" series="1">
      <pivotArea type="data" outline="0" fieldPosition="0">
        <references count="2">
          <reference field="4294967294" count="1" selected="0">
            <x v="0"/>
          </reference>
          <reference field="1" count="1" selected="0">
            <x v="14"/>
          </reference>
        </references>
      </pivotArea>
    </chartFormat>
    <chartFormat chart="1" format="15" series="1">
      <pivotArea type="data" outline="0" fieldPosition="0">
        <references count="2">
          <reference field="4294967294" count="1" selected="0">
            <x v="0"/>
          </reference>
          <reference field="1" count="1" selected="0">
            <x v="15"/>
          </reference>
        </references>
      </pivotArea>
    </chartFormat>
    <chartFormat chart="1" format="16" series="1">
      <pivotArea type="data" outline="0" fieldPosition="0">
        <references count="2">
          <reference field="4294967294" count="1" selected="0">
            <x v="0"/>
          </reference>
          <reference field="1" count="1" selected="0">
            <x v="16"/>
          </reference>
        </references>
      </pivotArea>
    </chartFormat>
    <chartFormat chart="2" format="18" series="1">
      <pivotArea type="data" outline="0" fieldPosition="0">
        <references count="2">
          <reference field="4294967294" count="1" selected="0">
            <x v="0"/>
          </reference>
          <reference field="1" count="1" selected="0">
            <x v="1"/>
          </reference>
        </references>
      </pivotArea>
    </chartFormat>
    <chartFormat chart="1" format="17"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1" xr10:uid="{6E3D9D4D-EFFC-4972-ACE4-AF735B8C6D9C}" sourceName="Industry">
  <pivotTables>
    <pivotTable tabId="10" name="PivotTable1"/>
  </pivotTables>
  <data>
    <tabular pivotCacheId="636901709">
      <items count="17">
        <i x="15" s="1"/>
        <i x="0" s="1"/>
        <i x="12" s="1"/>
        <i x="9" s="1"/>
        <i x="7" s="1"/>
        <i x="10" s="1" nd="1"/>
        <i x="11" s="1" nd="1"/>
        <i x="8" s="1" nd="1"/>
        <i x="6" s="1" nd="1"/>
        <i x="4" s="1" nd="1"/>
        <i x="14" s="1" nd="1"/>
        <i x="1" s="1" nd="1"/>
        <i x="5" s="1" nd="1"/>
        <i x="3" s="1" nd="1"/>
        <i x="2" s="1" nd="1"/>
        <i x="13" s="1" nd="1"/>
        <i x="16"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lationship_Manager1" xr10:uid="{40E209ED-5723-4BE3-B6D4-11E30CAA5F1B}" sourceName="Relationship Manager">
  <pivotTables>
    <pivotTable tabId="10" name="PivotTable1"/>
  </pivotTables>
  <data>
    <tabular pivotCacheId="636901709">
      <items count="34">
        <i x="0"/>
        <i x="11"/>
        <i x="29"/>
        <i x="33"/>
        <i x="28"/>
        <i x="8"/>
        <i x="12"/>
        <i x="6"/>
        <i x="21"/>
        <i x="7"/>
        <i x="26"/>
        <i x="9"/>
        <i x="25"/>
        <i x="24"/>
        <i x="4"/>
        <i x="14"/>
        <i x="13"/>
        <i x="31"/>
        <i x="10"/>
        <i x="18"/>
        <i x="19"/>
        <i x="30" s="1"/>
        <i x="15"/>
        <i x="32"/>
        <i x="17"/>
        <i x="20"/>
        <i x="16"/>
        <i x="22"/>
        <i x="1"/>
        <i x="5"/>
        <i x="3"/>
        <i x="27"/>
        <i x="23"/>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 xr10:uid="{7AD3E331-334B-4EF3-BB97-FD4789682E06}" sourceName="Industry">
  <extLst>
    <x:ext xmlns:x15="http://schemas.microsoft.com/office/spreadsheetml/2010/11/main" uri="{2F2917AC-EB37-4324-AD4E-5DD8C200BD13}">
      <x15:tableSlicerCache tableId="1" column="2"/>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lationship_Manager" xr10:uid="{76B5E6BD-8A94-4DD2-9EF5-3D2390613AE4}" sourceName="Relationship Manager">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ustry 1" xr10:uid="{7705CA56-DCB0-49CE-8C05-FADA2C20A793}" cache="Slicer_Industry1" caption="Industry" columnCount="3" rowHeight="234950"/>
  <slicer name="Relationship Manager 1" xr10:uid="{8BB7BB92-A985-4B18-B00C-D71A680DA226}" cache="Slicer_Relationship_Manager1" caption="Relationship Manager" columnCount="4"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ustry" xr10:uid="{A8C56A01-0FE7-41E6-A601-3460DE1510E6}" cache="Slicer_Industry" caption="Industry" columnCount="3" style="SlicerStyleLight3" rowHeight="234950"/>
  <slicer name="Relationship Manager" xr10:uid="{BE97F369-97DC-45B6-83AF-6FAEEC828A2E}" cache="Slicer_Relationship_Manager" caption="Relationship Manager" columnCount="4"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58AC75-6706-4A20-98B5-40099AF0D085}" name="Table1" displayName="Table1" ref="B3:G152" totalsRowShown="0" headerRowDxfId="34" dataDxfId="32" headerRowBorderDxfId="33" tableBorderDxfId="31" totalsRowBorderDxfId="30">
  <autoFilter ref="B3:G152" xr:uid="{6858AC75-6706-4A20-98B5-40099AF0D085}"/>
  <tableColumns count="6">
    <tableColumn id="1" xr3:uid="{5E675912-D4A8-40BD-96E8-FCDF9EC8B620}" name="Client Name" dataDxfId="29" dataCellStyle="Normal 3"/>
    <tableColumn id="2" xr3:uid="{D569689F-381A-488D-8847-25E104461D67}" name="Industry" dataDxfId="28" dataCellStyle="Normal 3"/>
    <tableColumn id="3" xr3:uid="{2450FB3A-B974-4DDB-BC4D-4820C25B100E}" name="ISIN Code" dataDxfId="27" dataCellStyle="Normal 3"/>
    <tableColumn id="4" xr3:uid="{7BC98B66-1878-4C72-B2E1-A43B6C849E85}" name="Number of Factories catered to" dataDxfId="26" dataCellStyle="Normal 3"/>
    <tableColumn id="5" xr3:uid="{9675A7F3-E50C-4746-91F0-A4129AFFC2FC}" name="Revenue from Client" dataDxfId="25" dataCellStyle="Comma"/>
    <tableColumn id="6" xr3:uid="{4530233A-B061-4017-927F-B947DCA92C01}" name="Relationship Manager" dataDxfId="24" dataCellStyle="Normal 3"/>
  </tableColumns>
  <tableStyleInfo name="TableStyleMedium1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6BFF7BA-EFDB-46A2-B443-B0BA8E8FCACD}" name="Table13" displayName="Table13" ref="B4:G153" headerRowDxfId="23" dataDxfId="21" totalsRowDxfId="19" headerRowBorderDxfId="22" tableBorderDxfId="20" totalsRowBorderDxfId="18">
  <autoFilter ref="B4:G153" xr:uid="{96BFF7BA-EFDB-46A2-B443-B0BA8E8FCACD}"/>
  <tableColumns count="6">
    <tableColumn id="1" xr3:uid="{E21244FF-958E-4934-A123-71A7EF954DD4}" name="Client Name" totalsRowLabel="Total" dataDxfId="17" totalsRowDxfId="16" dataCellStyle="Normal 3"/>
    <tableColumn id="2" xr3:uid="{CD88412D-30B7-47F5-8BE5-E23B0238E1B0}" name="Industry" dataDxfId="15" totalsRowDxfId="14" dataCellStyle="Normal 3"/>
    <tableColumn id="3" xr3:uid="{C04F1A08-6ED0-4172-8F3B-C275125FB251}" name="ISIN Code" dataDxfId="13" totalsRowDxfId="12" dataCellStyle="Normal 3"/>
    <tableColumn id="4" xr3:uid="{AB14BA06-8114-4E22-83CB-E78B3B9E1D8A}" name="Number of Factories catered to" dataDxfId="11" totalsRowDxfId="10" dataCellStyle="Normal 3"/>
    <tableColumn id="5" xr3:uid="{E4E3492C-5431-457B-8B25-46B89A3B20AA}" name="Revenue from Client" dataDxfId="9" totalsRowDxfId="8" dataCellStyle="Comma"/>
    <tableColumn id="6" xr3:uid="{E7E26F39-92FE-42BB-9C97-4E03197109C4}" name="Relationship Manager" totalsRowFunction="count" dataDxfId="7" totalsRowDxfId="6" dataCellStyle="Normal 3"/>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B558D-8258-48A4-840B-88E8D8F5D7F1}">
  <dimension ref="A3:R301"/>
  <sheetViews>
    <sheetView zoomScale="70" zoomScaleNormal="70" workbookViewId="0">
      <selection activeCell="A3" sqref="A3"/>
    </sheetView>
  </sheetViews>
  <sheetFormatPr defaultRowHeight="13.8" x14ac:dyDescent="0.25"/>
  <cols>
    <col min="1" max="1" width="39.88671875" style="1" bestFit="1" customWidth="1"/>
    <col min="2" max="2" width="26.109375" style="1" bestFit="1" customWidth="1"/>
    <col min="3" max="3" width="22.88671875" style="1" bestFit="1" customWidth="1"/>
    <col min="4" max="4" width="25.6640625" style="1" bestFit="1" customWidth="1"/>
    <col min="5" max="5" width="8.5546875" style="1" bestFit="1" customWidth="1"/>
    <col min="6" max="6" width="9.21875" style="1" bestFit="1" customWidth="1"/>
    <col min="7" max="7" width="28.5546875" style="1" bestFit="1" customWidth="1"/>
    <col min="8" max="8" width="22.88671875" style="1" bestFit="1" customWidth="1"/>
    <col min="9" max="9" width="25.6640625" style="1" bestFit="1" customWidth="1"/>
    <col min="10" max="10" width="32.6640625" style="1" bestFit="1" customWidth="1"/>
    <col min="11" max="11" width="8.5546875" style="1" bestFit="1" customWidth="1"/>
    <col min="12" max="12" width="9.21875" style="1" bestFit="1" customWidth="1"/>
    <col min="13" max="13" width="11.5546875" style="1" bestFit="1" customWidth="1"/>
    <col min="14" max="14" width="10" style="1" bestFit="1" customWidth="1"/>
    <col min="15" max="15" width="8.5546875" style="1" bestFit="1" customWidth="1"/>
    <col min="16" max="16" width="10.77734375" style="1" bestFit="1" customWidth="1"/>
    <col min="17" max="17" width="10.88671875" style="1" bestFit="1" customWidth="1"/>
    <col min="18" max="18" width="10.44140625" style="1" bestFit="1" customWidth="1"/>
    <col min="19" max="16384" width="8.88671875" style="1"/>
  </cols>
  <sheetData>
    <row r="3" spans="1:18" ht="14.4" x14ac:dyDescent="0.3">
      <c r="A3" s="18" t="s">
        <v>354</v>
      </c>
      <c r="B3" s="1" t="s">
        <v>355</v>
      </c>
      <c r="C3"/>
      <c r="D3"/>
      <c r="E3"/>
      <c r="F3"/>
      <c r="G3"/>
      <c r="H3"/>
      <c r="I3"/>
      <c r="J3"/>
      <c r="K3"/>
      <c r="L3"/>
      <c r="M3"/>
      <c r="N3"/>
      <c r="O3"/>
      <c r="P3"/>
      <c r="Q3"/>
      <c r="R3"/>
    </row>
    <row r="4" spans="1:18" ht="14.4" x14ac:dyDescent="0.3">
      <c r="A4" s="13" t="s">
        <v>150</v>
      </c>
      <c r="B4" s="19">
        <v>31951</v>
      </c>
      <c r="C4"/>
      <c r="D4"/>
      <c r="E4"/>
      <c r="F4"/>
      <c r="G4"/>
      <c r="H4"/>
      <c r="I4"/>
      <c r="J4"/>
      <c r="K4"/>
      <c r="L4"/>
      <c r="M4"/>
      <c r="N4"/>
      <c r="O4"/>
      <c r="P4"/>
      <c r="Q4"/>
      <c r="R4"/>
    </row>
    <row r="5" spans="1:18" ht="14.4" x14ac:dyDescent="0.3">
      <c r="A5" s="20" t="s">
        <v>0</v>
      </c>
      <c r="B5" s="19">
        <v>31951</v>
      </c>
      <c r="C5"/>
      <c r="D5"/>
      <c r="E5"/>
      <c r="F5"/>
      <c r="G5"/>
      <c r="H5"/>
      <c r="I5"/>
      <c r="J5"/>
      <c r="K5"/>
      <c r="L5"/>
      <c r="M5"/>
      <c r="N5"/>
      <c r="O5"/>
      <c r="P5"/>
      <c r="Q5"/>
      <c r="R5"/>
    </row>
    <row r="6" spans="1:18" ht="14.4" x14ac:dyDescent="0.3">
      <c r="A6" s="13" t="s">
        <v>151</v>
      </c>
      <c r="B6" s="19">
        <v>49219</v>
      </c>
      <c r="C6"/>
      <c r="D6"/>
      <c r="E6"/>
      <c r="F6"/>
      <c r="G6"/>
      <c r="H6"/>
      <c r="I6"/>
      <c r="J6"/>
      <c r="K6"/>
      <c r="L6"/>
      <c r="M6"/>
      <c r="N6"/>
      <c r="O6"/>
      <c r="P6"/>
      <c r="Q6"/>
      <c r="R6"/>
    </row>
    <row r="7" spans="1:18" ht="14.4" x14ac:dyDescent="0.3">
      <c r="A7" s="20" t="s">
        <v>84</v>
      </c>
      <c r="B7" s="19">
        <v>19233</v>
      </c>
      <c r="C7"/>
      <c r="D7"/>
      <c r="E7"/>
      <c r="F7"/>
      <c r="G7"/>
      <c r="H7"/>
      <c r="I7"/>
      <c r="J7"/>
      <c r="K7"/>
      <c r="L7"/>
      <c r="M7"/>
      <c r="N7"/>
      <c r="O7"/>
      <c r="P7"/>
      <c r="Q7"/>
      <c r="R7"/>
    </row>
    <row r="8" spans="1:18" ht="14.4" x14ac:dyDescent="0.3">
      <c r="A8" s="20" t="s">
        <v>134</v>
      </c>
      <c r="B8" s="19">
        <v>29986</v>
      </c>
      <c r="C8"/>
      <c r="D8"/>
      <c r="E8"/>
      <c r="F8"/>
      <c r="G8"/>
      <c r="H8"/>
      <c r="I8"/>
      <c r="J8"/>
      <c r="K8"/>
      <c r="L8"/>
      <c r="M8"/>
      <c r="N8"/>
      <c r="O8"/>
      <c r="P8"/>
      <c r="Q8"/>
      <c r="R8"/>
    </row>
    <row r="9" spans="1:18" ht="14.4" x14ac:dyDescent="0.3">
      <c r="A9" s="13" t="s">
        <v>159</v>
      </c>
      <c r="B9" s="19">
        <v>69890</v>
      </c>
      <c r="C9"/>
      <c r="D9"/>
      <c r="E9"/>
      <c r="F9"/>
      <c r="G9"/>
      <c r="H9"/>
      <c r="I9"/>
      <c r="J9"/>
      <c r="K9"/>
      <c r="L9"/>
      <c r="M9"/>
      <c r="N9"/>
      <c r="O9"/>
      <c r="P9"/>
      <c r="Q9"/>
      <c r="R9"/>
    </row>
    <row r="10" spans="1:18" ht="14.4" x14ac:dyDescent="0.3">
      <c r="A10" s="20" t="s">
        <v>61</v>
      </c>
      <c r="B10" s="19">
        <v>69890</v>
      </c>
      <c r="C10"/>
      <c r="D10"/>
      <c r="E10"/>
      <c r="F10"/>
      <c r="G10"/>
      <c r="H10"/>
      <c r="I10"/>
      <c r="J10"/>
      <c r="K10"/>
      <c r="L10"/>
      <c r="M10"/>
      <c r="N10"/>
      <c r="O10"/>
      <c r="P10"/>
      <c r="Q10"/>
      <c r="R10"/>
    </row>
    <row r="11" spans="1:18" ht="14.4" x14ac:dyDescent="0.3">
      <c r="A11" s="13" t="s">
        <v>163</v>
      </c>
      <c r="B11" s="19">
        <v>52756</v>
      </c>
      <c r="C11"/>
      <c r="D11"/>
      <c r="E11"/>
      <c r="F11"/>
      <c r="G11"/>
      <c r="H11"/>
      <c r="I11"/>
      <c r="J11"/>
      <c r="K11"/>
      <c r="L11"/>
      <c r="M11"/>
      <c r="N11"/>
      <c r="O11"/>
      <c r="P11"/>
      <c r="Q11"/>
      <c r="R11"/>
    </row>
    <row r="12" spans="1:18" ht="14.4" x14ac:dyDescent="0.3">
      <c r="A12" s="20" t="s">
        <v>145</v>
      </c>
      <c r="B12" s="19">
        <v>52756</v>
      </c>
      <c r="C12"/>
      <c r="D12"/>
      <c r="E12"/>
      <c r="F12"/>
      <c r="G12"/>
      <c r="H12"/>
      <c r="I12"/>
      <c r="J12"/>
      <c r="K12"/>
      <c r="L12"/>
      <c r="M12"/>
      <c r="N12"/>
      <c r="O12"/>
      <c r="P12"/>
      <c r="Q12"/>
      <c r="R12"/>
    </row>
    <row r="13" spans="1:18" ht="14.4" x14ac:dyDescent="0.3">
      <c r="A13" s="13" t="s">
        <v>162</v>
      </c>
      <c r="B13" s="19">
        <v>61565</v>
      </c>
      <c r="C13"/>
      <c r="D13"/>
      <c r="E13"/>
      <c r="F13"/>
      <c r="G13"/>
      <c r="H13"/>
      <c r="I13"/>
      <c r="J13"/>
      <c r="K13"/>
      <c r="L13"/>
      <c r="M13"/>
      <c r="N13"/>
      <c r="O13"/>
      <c r="P13"/>
      <c r="Q13"/>
      <c r="R13"/>
    </row>
    <row r="14" spans="1:18" ht="14.4" x14ac:dyDescent="0.3">
      <c r="A14" s="20" t="s">
        <v>50</v>
      </c>
      <c r="B14" s="19">
        <v>61565</v>
      </c>
      <c r="C14"/>
      <c r="D14"/>
      <c r="E14"/>
      <c r="F14"/>
      <c r="G14"/>
      <c r="H14"/>
      <c r="I14"/>
      <c r="J14"/>
      <c r="K14"/>
      <c r="L14"/>
      <c r="M14"/>
      <c r="N14"/>
      <c r="O14"/>
      <c r="P14"/>
      <c r="Q14"/>
      <c r="R14"/>
    </row>
    <row r="15" spans="1:18" ht="14.4" x14ac:dyDescent="0.3">
      <c r="A15"/>
      <c r="B15"/>
      <c r="C15"/>
      <c r="D15"/>
      <c r="E15"/>
      <c r="F15"/>
      <c r="G15"/>
      <c r="H15"/>
      <c r="I15"/>
      <c r="J15"/>
      <c r="K15"/>
      <c r="L15"/>
      <c r="M15"/>
      <c r="N15"/>
      <c r="O15"/>
      <c r="P15"/>
      <c r="Q15"/>
      <c r="R15"/>
    </row>
    <row r="16" spans="1:18" ht="14.4" x14ac:dyDescent="0.3">
      <c r="A16"/>
      <c r="B16"/>
      <c r="C16"/>
      <c r="D16"/>
      <c r="E16"/>
      <c r="F16"/>
      <c r="G16"/>
      <c r="H16"/>
      <c r="I16"/>
      <c r="J16"/>
      <c r="K16"/>
      <c r="L16"/>
      <c r="M16"/>
      <c r="N16"/>
      <c r="O16"/>
      <c r="P16"/>
      <c r="Q16"/>
      <c r="R16"/>
    </row>
    <row r="17" spans="1:18" ht="14.4" x14ac:dyDescent="0.3">
      <c r="A17"/>
      <c r="B17"/>
      <c r="C17"/>
      <c r="D17"/>
      <c r="E17"/>
      <c r="F17"/>
      <c r="G17"/>
      <c r="H17"/>
      <c r="I17"/>
      <c r="J17"/>
      <c r="K17"/>
      <c r="L17"/>
      <c r="M17"/>
      <c r="N17"/>
      <c r="O17"/>
      <c r="P17"/>
      <c r="Q17"/>
      <c r="R17"/>
    </row>
    <row r="18" spans="1:18" ht="14.4" x14ac:dyDescent="0.3">
      <c r="A18"/>
      <c r="B18"/>
      <c r="C18"/>
      <c r="D18"/>
      <c r="E18"/>
      <c r="F18"/>
      <c r="G18"/>
      <c r="H18"/>
      <c r="I18"/>
      <c r="J18"/>
      <c r="K18"/>
      <c r="L18"/>
      <c r="M18"/>
      <c r="N18"/>
      <c r="O18"/>
      <c r="P18"/>
      <c r="Q18"/>
      <c r="R18"/>
    </row>
    <row r="19" spans="1:18" ht="14.4" x14ac:dyDescent="0.3">
      <c r="A19"/>
      <c r="B19"/>
      <c r="C19"/>
      <c r="D19"/>
      <c r="E19"/>
      <c r="F19"/>
      <c r="G19"/>
      <c r="H19"/>
      <c r="I19"/>
      <c r="J19"/>
      <c r="K19"/>
      <c r="L19"/>
      <c r="M19"/>
      <c r="N19"/>
      <c r="O19"/>
      <c r="P19"/>
      <c r="Q19"/>
      <c r="R19"/>
    </row>
    <row r="20" spans="1:18" ht="14.4" x14ac:dyDescent="0.3">
      <c r="A20"/>
      <c r="B20"/>
      <c r="C20"/>
      <c r="D20"/>
      <c r="E20"/>
      <c r="F20"/>
      <c r="G20"/>
      <c r="H20"/>
      <c r="I20"/>
      <c r="J20"/>
      <c r="K20"/>
      <c r="L20"/>
      <c r="M20"/>
      <c r="N20"/>
      <c r="O20"/>
      <c r="P20"/>
      <c r="Q20"/>
      <c r="R20"/>
    </row>
    <row r="21" spans="1:18" ht="14.4" x14ac:dyDescent="0.3">
      <c r="A21"/>
      <c r="B21"/>
      <c r="C21"/>
      <c r="D21"/>
      <c r="E21"/>
      <c r="F21"/>
      <c r="G21"/>
      <c r="H21"/>
      <c r="I21"/>
      <c r="J21"/>
      <c r="K21"/>
      <c r="L21"/>
      <c r="M21"/>
      <c r="N21"/>
      <c r="O21"/>
      <c r="P21"/>
      <c r="Q21"/>
      <c r="R21"/>
    </row>
    <row r="22" spans="1:18" ht="14.4" x14ac:dyDescent="0.3">
      <c r="A22"/>
      <c r="B22"/>
      <c r="C22"/>
      <c r="D22"/>
      <c r="E22"/>
      <c r="F22"/>
      <c r="G22"/>
      <c r="H22"/>
      <c r="I22"/>
      <c r="J22"/>
      <c r="K22"/>
      <c r="L22"/>
      <c r="M22"/>
      <c r="N22"/>
      <c r="O22"/>
      <c r="P22"/>
      <c r="Q22"/>
      <c r="R22"/>
    </row>
    <row r="23" spans="1:18" ht="14.4" x14ac:dyDescent="0.3">
      <c r="A23"/>
      <c r="B23"/>
      <c r="C23"/>
      <c r="D23"/>
      <c r="E23"/>
      <c r="F23"/>
      <c r="G23"/>
      <c r="H23"/>
      <c r="I23"/>
      <c r="J23"/>
      <c r="K23"/>
      <c r="L23"/>
      <c r="M23"/>
      <c r="N23"/>
      <c r="O23"/>
      <c r="P23"/>
      <c r="Q23"/>
      <c r="R23"/>
    </row>
    <row r="24" spans="1:18" ht="14.4" x14ac:dyDescent="0.3">
      <c r="A24"/>
      <c r="B24"/>
      <c r="C24"/>
      <c r="D24"/>
      <c r="E24"/>
      <c r="F24"/>
      <c r="G24"/>
      <c r="H24"/>
      <c r="I24"/>
      <c r="J24"/>
      <c r="K24"/>
      <c r="L24"/>
      <c r="M24"/>
      <c r="N24"/>
      <c r="O24"/>
      <c r="P24"/>
      <c r="Q24"/>
      <c r="R24"/>
    </row>
    <row r="25" spans="1:18" ht="14.4" x14ac:dyDescent="0.3">
      <c r="A25"/>
      <c r="B25"/>
      <c r="C25"/>
      <c r="D25"/>
      <c r="E25"/>
      <c r="F25"/>
      <c r="G25"/>
      <c r="H25"/>
      <c r="I25"/>
      <c r="J25"/>
      <c r="K25"/>
      <c r="L25"/>
      <c r="M25"/>
      <c r="N25"/>
      <c r="O25"/>
      <c r="P25"/>
      <c r="Q25"/>
      <c r="R25"/>
    </row>
    <row r="26" spans="1:18" ht="14.4" x14ac:dyDescent="0.3">
      <c r="A26"/>
      <c r="B26"/>
      <c r="C26"/>
      <c r="D26"/>
      <c r="E26"/>
      <c r="F26"/>
      <c r="G26"/>
      <c r="H26"/>
      <c r="I26"/>
      <c r="J26"/>
      <c r="K26"/>
      <c r="L26"/>
      <c r="M26"/>
      <c r="N26"/>
      <c r="O26"/>
      <c r="P26"/>
      <c r="Q26"/>
      <c r="R26"/>
    </row>
    <row r="27" spans="1:18" ht="14.4" x14ac:dyDescent="0.3">
      <c r="A27"/>
      <c r="B27"/>
      <c r="C27"/>
      <c r="D27"/>
      <c r="E27"/>
      <c r="F27"/>
      <c r="G27"/>
      <c r="H27"/>
      <c r="I27"/>
      <c r="J27"/>
      <c r="K27"/>
      <c r="L27"/>
      <c r="M27"/>
      <c r="N27"/>
      <c r="O27"/>
      <c r="P27"/>
      <c r="Q27"/>
      <c r="R27"/>
    </row>
    <row r="28" spans="1:18" ht="14.4" x14ac:dyDescent="0.3">
      <c r="A28"/>
      <c r="B28"/>
      <c r="C28"/>
      <c r="D28"/>
      <c r="E28"/>
      <c r="F28"/>
      <c r="G28"/>
      <c r="H28"/>
      <c r="I28"/>
      <c r="J28"/>
      <c r="K28"/>
      <c r="L28"/>
      <c r="M28"/>
      <c r="N28"/>
      <c r="O28"/>
      <c r="P28"/>
      <c r="Q28"/>
      <c r="R28"/>
    </row>
    <row r="29" spans="1:18" ht="14.4" x14ac:dyDescent="0.3">
      <c r="A29"/>
      <c r="B29"/>
      <c r="C29"/>
      <c r="D29"/>
      <c r="E29"/>
      <c r="F29"/>
      <c r="G29"/>
      <c r="H29"/>
      <c r="I29"/>
      <c r="J29"/>
      <c r="K29"/>
      <c r="L29"/>
      <c r="M29"/>
      <c r="N29"/>
      <c r="O29"/>
      <c r="P29"/>
      <c r="Q29"/>
      <c r="R29"/>
    </row>
    <row r="30" spans="1:18" ht="14.4" x14ac:dyDescent="0.3">
      <c r="A30"/>
      <c r="B30"/>
      <c r="C30"/>
      <c r="D30"/>
      <c r="E30"/>
      <c r="F30"/>
      <c r="G30"/>
      <c r="H30"/>
      <c r="I30"/>
      <c r="J30"/>
      <c r="K30"/>
      <c r="L30"/>
      <c r="M30"/>
      <c r="N30"/>
      <c r="O30"/>
      <c r="P30"/>
      <c r="Q30"/>
      <c r="R30"/>
    </row>
    <row r="31" spans="1:18" ht="14.4" x14ac:dyDescent="0.3">
      <c r="A31"/>
      <c r="B31"/>
      <c r="C31"/>
      <c r="D31"/>
      <c r="E31"/>
      <c r="F31"/>
      <c r="G31"/>
      <c r="H31"/>
      <c r="I31"/>
      <c r="J31"/>
      <c r="K31"/>
      <c r="L31"/>
      <c r="M31"/>
      <c r="N31"/>
      <c r="O31"/>
      <c r="P31"/>
      <c r="Q31"/>
      <c r="R31"/>
    </row>
    <row r="32" spans="1:18" ht="14.4" x14ac:dyDescent="0.3">
      <c r="A32"/>
      <c r="B32"/>
      <c r="C32"/>
      <c r="D32"/>
      <c r="E32"/>
      <c r="F32"/>
      <c r="G32"/>
      <c r="H32"/>
      <c r="I32"/>
      <c r="J32"/>
      <c r="K32"/>
      <c r="L32"/>
      <c r="M32"/>
      <c r="N32"/>
      <c r="O32"/>
      <c r="P32"/>
      <c r="Q32"/>
      <c r="R32"/>
    </row>
    <row r="33" spans="1:18" ht="14.4" x14ac:dyDescent="0.3">
      <c r="A33"/>
      <c r="B33"/>
      <c r="C33"/>
      <c r="D33"/>
      <c r="E33"/>
      <c r="F33"/>
      <c r="G33"/>
      <c r="H33"/>
      <c r="I33"/>
      <c r="J33"/>
      <c r="K33"/>
      <c r="L33"/>
      <c r="M33"/>
      <c r="N33"/>
      <c r="O33"/>
      <c r="P33"/>
      <c r="Q33"/>
      <c r="R33"/>
    </row>
    <row r="34" spans="1:18" ht="14.4" x14ac:dyDescent="0.3">
      <c r="A34"/>
      <c r="B34"/>
      <c r="C34"/>
      <c r="D34"/>
      <c r="E34"/>
      <c r="F34"/>
      <c r="G34"/>
      <c r="H34"/>
      <c r="I34"/>
      <c r="J34"/>
      <c r="K34"/>
      <c r="L34"/>
      <c r="M34"/>
      <c r="N34"/>
      <c r="O34"/>
      <c r="P34"/>
      <c r="Q34"/>
      <c r="R34"/>
    </row>
    <row r="35" spans="1:18" ht="14.4" x14ac:dyDescent="0.3">
      <c r="A35"/>
      <c r="B35"/>
      <c r="C35"/>
      <c r="D35"/>
      <c r="E35"/>
      <c r="F35"/>
      <c r="G35"/>
      <c r="H35"/>
      <c r="I35"/>
      <c r="J35"/>
      <c r="K35"/>
      <c r="L35"/>
      <c r="M35"/>
      <c r="N35"/>
      <c r="O35"/>
      <c r="P35"/>
      <c r="Q35"/>
      <c r="R35"/>
    </row>
    <row r="36" spans="1:18" ht="14.4" x14ac:dyDescent="0.3">
      <c r="A36"/>
      <c r="B36"/>
      <c r="C36"/>
      <c r="D36"/>
      <c r="E36"/>
      <c r="F36"/>
      <c r="G36"/>
      <c r="H36"/>
      <c r="I36"/>
      <c r="J36"/>
      <c r="K36"/>
      <c r="L36"/>
      <c r="M36"/>
      <c r="N36"/>
      <c r="O36"/>
      <c r="P36"/>
      <c r="Q36"/>
      <c r="R36"/>
    </row>
    <row r="37" spans="1:18" ht="14.4" x14ac:dyDescent="0.3">
      <c r="A37"/>
      <c r="B37"/>
      <c r="C37"/>
      <c r="D37"/>
      <c r="E37"/>
      <c r="F37"/>
      <c r="G37"/>
      <c r="H37"/>
      <c r="I37"/>
      <c r="J37"/>
      <c r="K37"/>
      <c r="L37"/>
      <c r="M37"/>
      <c r="N37"/>
      <c r="O37"/>
      <c r="P37"/>
      <c r="Q37"/>
      <c r="R37"/>
    </row>
    <row r="38" spans="1:18" ht="14.4" x14ac:dyDescent="0.3">
      <c r="A38"/>
      <c r="B38"/>
      <c r="C38"/>
      <c r="D38"/>
      <c r="E38"/>
      <c r="F38"/>
      <c r="G38"/>
      <c r="H38"/>
      <c r="I38"/>
      <c r="J38"/>
      <c r="K38"/>
      <c r="L38"/>
      <c r="M38"/>
      <c r="N38"/>
      <c r="O38"/>
      <c r="P38"/>
      <c r="Q38"/>
      <c r="R38"/>
    </row>
    <row r="39" spans="1:18" ht="14.4" x14ac:dyDescent="0.3">
      <c r="A39"/>
      <c r="B39"/>
      <c r="C39"/>
      <c r="D39"/>
      <c r="E39"/>
      <c r="F39"/>
      <c r="G39"/>
      <c r="H39"/>
      <c r="I39"/>
      <c r="J39"/>
      <c r="K39"/>
      <c r="L39"/>
      <c r="M39"/>
      <c r="N39"/>
      <c r="O39"/>
      <c r="P39"/>
      <c r="Q39"/>
      <c r="R39"/>
    </row>
    <row r="40" spans="1:18" ht="14.4" x14ac:dyDescent="0.3">
      <c r="A40"/>
      <c r="B40"/>
      <c r="C40"/>
      <c r="D40"/>
      <c r="E40"/>
      <c r="F40"/>
      <c r="G40"/>
      <c r="H40"/>
      <c r="I40"/>
      <c r="J40"/>
      <c r="K40"/>
      <c r="L40"/>
      <c r="M40"/>
      <c r="N40"/>
      <c r="O40"/>
      <c r="P40"/>
      <c r="Q40"/>
      <c r="R40"/>
    </row>
    <row r="41" spans="1:18" ht="14.4" x14ac:dyDescent="0.3">
      <c r="A41"/>
      <c r="B41"/>
      <c r="C41"/>
      <c r="D41"/>
      <c r="E41"/>
      <c r="F41"/>
      <c r="G41"/>
      <c r="H41"/>
      <c r="I41"/>
      <c r="J41"/>
      <c r="K41"/>
      <c r="L41"/>
      <c r="M41"/>
      <c r="N41"/>
      <c r="O41"/>
      <c r="P41"/>
      <c r="Q41"/>
      <c r="R41"/>
    </row>
    <row r="42" spans="1:18" ht="14.4" x14ac:dyDescent="0.3">
      <c r="A42"/>
      <c r="B42"/>
      <c r="C42"/>
      <c r="D42"/>
      <c r="E42"/>
      <c r="F42"/>
      <c r="G42"/>
      <c r="H42"/>
      <c r="I42"/>
      <c r="J42"/>
      <c r="K42"/>
      <c r="L42"/>
      <c r="M42"/>
      <c r="N42"/>
      <c r="O42"/>
      <c r="P42"/>
      <c r="Q42"/>
      <c r="R42"/>
    </row>
    <row r="43" spans="1:18" ht="14.4" x14ac:dyDescent="0.3">
      <c r="A43"/>
      <c r="B43"/>
      <c r="C43"/>
      <c r="D43"/>
      <c r="E43"/>
      <c r="F43"/>
      <c r="G43"/>
      <c r="H43"/>
      <c r="I43"/>
      <c r="J43"/>
      <c r="K43"/>
      <c r="L43"/>
      <c r="M43"/>
      <c r="N43"/>
      <c r="O43"/>
      <c r="P43"/>
      <c r="Q43"/>
      <c r="R43"/>
    </row>
    <row r="44" spans="1:18" ht="14.4" x14ac:dyDescent="0.3">
      <c r="A44"/>
      <c r="B44"/>
      <c r="C44"/>
      <c r="D44"/>
      <c r="E44"/>
      <c r="F44"/>
      <c r="G44"/>
      <c r="H44"/>
      <c r="I44"/>
      <c r="J44"/>
      <c r="K44"/>
      <c r="L44"/>
      <c r="M44"/>
      <c r="N44"/>
      <c r="O44"/>
      <c r="P44"/>
      <c r="Q44"/>
      <c r="R44"/>
    </row>
    <row r="45" spans="1:18" ht="14.4" x14ac:dyDescent="0.3">
      <c r="A45"/>
      <c r="B45"/>
      <c r="C45"/>
      <c r="D45"/>
      <c r="E45"/>
      <c r="F45"/>
      <c r="G45"/>
      <c r="H45"/>
      <c r="I45"/>
      <c r="J45"/>
      <c r="K45"/>
      <c r="L45"/>
      <c r="M45"/>
      <c r="N45"/>
      <c r="O45"/>
      <c r="P45"/>
      <c r="Q45"/>
      <c r="R45"/>
    </row>
    <row r="46" spans="1:18" ht="14.4" x14ac:dyDescent="0.3">
      <c r="A46"/>
      <c r="B46"/>
      <c r="C46"/>
      <c r="D46"/>
      <c r="E46"/>
      <c r="F46"/>
      <c r="G46"/>
      <c r="H46"/>
      <c r="I46"/>
      <c r="J46"/>
      <c r="K46"/>
      <c r="L46"/>
      <c r="M46"/>
      <c r="N46"/>
      <c r="O46"/>
      <c r="P46"/>
      <c r="Q46"/>
      <c r="R46"/>
    </row>
    <row r="47" spans="1:18" ht="14.4" x14ac:dyDescent="0.3">
      <c r="A47"/>
      <c r="B47"/>
      <c r="C47"/>
      <c r="D47"/>
      <c r="E47"/>
      <c r="F47"/>
      <c r="G47"/>
      <c r="H47"/>
      <c r="I47"/>
      <c r="J47"/>
      <c r="K47"/>
      <c r="L47"/>
      <c r="M47"/>
      <c r="N47"/>
      <c r="O47"/>
      <c r="P47"/>
      <c r="Q47"/>
      <c r="R47"/>
    </row>
    <row r="48" spans="1:18" ht="14.4" x14ac:dyDescent="0.3">
      <c r="A48"/>
      <c r="B48"/>
      <c r="C48"/>
      <c r="D48"/>
      <c r="E48"/>
      <c r="F48"/>
      <c r="G48"/>
      <c r="H48"/>
      <c r="I48"/>
      <c r="J48"/>
      <c r="K48"/>
      <c r="L48"/>
      <c r="M48"/>
      <c r="N48"/>
      <c r="O48"/>
      <c r="P48"/>
      <c r="Q48"/>
      <c r="R48"/>
    </row>
    <row r="49" spans="1:18" ht="14.4" x14ac:dyDescent="0.3">
      <c r="A49"/>
      <c r="B49"/>
      <c r="C49"/>
      <c r="D49"/>
      <c r="E49"/>
      <c r="F49"/>
      <c r="G49"/>
      <c r="H49"/>
      <c r="I49"/>
      <c r="J49"/>
      <c r="K49"/>
      <c r="L49"/>
      <c r="M49"/>
      <c r="N49"/>
      <c r="O49"/>
      <c r="P49"/>
      <c r="Q49"/>
      <c r="R49"/>
    </row>
    <row r="50" spans="1:18" ht="14.4" x14ac:dyDescent="0.3">
      <c r="A50"/>
      <c r="B50"/>
      <c r="C50"/>
      <c r="D50"/>
      <c r="E50"/>
      <c r="F50"/>
      <c r="G50"/>
      <c r="H50"/>
      <c r="I50"/>
      <c r="J50"/>
      <c r="K50"/>
      <c r="L50"/>
      <c r="M50"/>
      <c r="N50"/>
      <c r="O50"/>
      <c r="P50"/>
      <c r="Q50"/>
      <c r="R50"/>
    </row>
    <row r="51" spans="1:18" ht="14.4" x14ac:dyDescent="0.3">
      <c r="A51"/>
      <c r="B51"/>
      <c r="C51"/>
      <c r="D51"/>
      <c r="E51"/>
      <c r="F51"/>
      <c r="G51"/>
      <c r="H51"/>
      <c r="I51"/>
      <c r="J51"/>
      <c r="K51"/>
      <c r="L51"/>
      <c r="M51"/>
      <c r="N51"/>
      <c r="O51"/>
      <c r="P51"/>
      <c r="Q51"/>
      <c r="R51"/>
    </row>
    <row r="52" spans="1:18" ht="14.4" x14ac:dyDescent="0.3">
      <c r="A52"/>
      <c r="B52"/>
      <c r="C52"/>
      <c r="D52"/>
      <c r="E52"/>
      <c r="F52"/>
      <c r="G52"/>
      <c r="H52"/>
      <c r="I52"/>
      <c r="J52"/>
      <c r="K52"/>
      <c r="L52"/>
      <c r="M52"/>
      <c r="N52"/>
      <c r="O52"/>
      <c r="P52"/>
      <c r="Q52"/>
      <c r="R52"/>
    </row>
    <row r="53" spans="1:18" ht="14.4" x14ac:dyDescent="0.3">
      <c r="A53"/>
      <c r="B53"/>
      <c r="C53"/>
      <c r="D53"/>
      <c r="E53"/>
      <c r="F53"/>
      <c r="G53"/>
      <c r="H53"/>
      <c r="I53"/>
      <c r="J53"/>
      <c r="K53"/>
      <c r="L53"/>
      <c r="M53"/>
      <c r="N53"/>
      <c r="O53"/>
      <c r="P53"/>
      <c r="Q53"/>
      <c r="R53"/>
    </row>
    <row r="54" spans="1:18" ht="14.4" x14ac:dyDescent="0.3">
      <c r="A54"/>
      <c r="B54"/>
      <c r="C54"/>
      <c r="D54"/>
      <c r="E54"/>
      <c r="F54"/>
      <c r="G54"/>
      <c r="H54"/>
      <c r="I54"/>
      <c r="J54"/>
      <c r="K54"/>
      <c r="L54"/>
      <c r="M54"/>
      <c r="N54"/>
      <c r="O54"/>
      <c r="P54"/>
      <c r="Q54"/>
      <c r="R54"/>
    </row>
    <row r="55" spans="1:18" ht="14.4" x14ac:dyDescent="0.3">
      <c r="A55"/>
      <c r="B55"/>
      <c r="C55"/>
      <c r="D55"/>
      <c r="E55"/>
      <c r="F55"/>
      <c r="G55"/>
      <c r="H55"/>
      <c r="I55"/>
      <c r="J55"/>
      <c r="K55"/>
      <c r="L55"/>
      <c r="M55"/>
      <c r="N55"/>
      <c r="O55"/>
      <c r="P55"/>
      <c r="Q55"/>
      <c r="R55"/>
    </row>
    <row r="56" spans="1:18" ht="14.4" x14ac:dyDescent="0.3">
      <c r="A56"/>
      <c r="B56"/>
      <c r="C56"/>
      <c r="D56"/>
      <c r="E56"/>
      <c r="F56"/>
      <c r="G56"/>
      <c r="H56"/>
      <c r="I56"/>
      <c r="J56"/>
      <c r="K56"/>
      <c r="L56"/>
      <c r="M56"/>
      <c r="N56"/>
      <c r="O56"/>
      <c r="P56"/>
      <c r="Q56"/>
      <c r="R56"/>
    </row>
    <row r="57" spans="1:18" ht="14.4" x14ac:dyDescent="0.3">
      <c r="A57"/>
      <c r="B57"/>
      <c r="C57"/>
      <c r="D57"/>
      <c r="E57"/>
      <c r="F57"/>
      <c r="G57"/>
      <c r="H57"/>
      <c r="I57"/>
      <c r="J57"/>
      <c r="K57"/>
      <c r="L57"/>
      <c r="M57"/>
      <c r="N57"/>
      <c r="O57"/>
      <c r="P57"/>
      <c r="Q57"/>
      <c r="R57"/>
    </row>
    <row r="58" spans="1:18" ht="14.4" x14ac:dyDescent="0.3">
      <c r="A58"/>
      <c r="B58"/>
      <c r="C58"/>
      <c r="D58"/>
      <c r="E58"/>
      <c r="F58"/>
      <c r="G58"/>
      <c r="H58"/>
      <c r="I58"/>
      <c r="J58"/>
      <c r="K58"/>
      <c r="L58"/>
      <c r="M58"/>
      <c r="N58"/>
      <c r="O58"/>
      <c r="P58"/>
      <c r="Q58"/>
      <c r="R58"/>
    </row>
    <row r="59" spans="1:18" ht="14.4" x14ac:dyDescent="0.3">
      <c r="A59"/>
      <c r="B59"/>
      <c r="C59"/>
      <c r="D59"/>
      <c r="E59"/>
      <c r="F59"/>
      <c r="G59"/>
      <c r="H59"/>
      <c r="I59"/>
      <c r="J59"/>
      <c r="K59"/>
      <c r="L59"/>
      <c r="M59"/>
      <c r="N59"/>
      <c r="O59"/>
      <c r="P59"/>
      <c r="Q59"/>
      <c r="R59"/>
    </row>
    <row r="60" spans="1:18" ht="14.4" x14ac:dyDescent="0.3">
      <c r="A60"/>
      <c r="B60"/>
      <c r="C60"/>
      <c r="D60"/>
      <c r="E60"/>
      <c r="F60"/>
      <c r="G60"/>
      <c r="H60"/>
      <c r="I60"/>
      <c r="J60"/>
      <c r="K60"/>
      <c r="L60"/>
      <c r="M60"/>
      <c r="N60"/>
      <c r="O60"/>
      <c r="P60"/>
      <c r="Q60"/>
      <c r="R60"/>
    </row>
    <row r="61" spans="1:18" ht="14.4" x14ac:dyDescent="0.3">
      <c r="A61"/>
      <c r="B61"/>
      <c r="C61"/>
      <c r="D61"/>
      <c r="E61"/>
      <c r="F61"/>
      <c r="G61"/>
      <c r="H61"/>
      <c r="I61"/>
      <c r="J61"/>
      <c r="K61"/>
      <c r="L61"/>
      <c r="M61"/>
      <c r="N61"/>
      <c r="O61"/>
      <c r="P61"/>
      <c r="Q61"/>
      <c r="R61"/>
    </row>
    <row r="62" spans="1:18" ht="14.4" x14ac:dyDescent="0.3">
      <c r="A62"/>
      <c r="B62"/>
      <c r="C62"/>
      <c r="D62"/>
      <c r="E62"/>
      <c r="F62"/>
      <c r="G62"/>
      <c r="H62"/>
      <c r="I62"/>
      <c r="J62"/>
      <c r="K62"/>
      <c r="L62"/>
      <c r="M62"/>
      <c r="N62"/>
      <c r="O62"/>
      <c r="P62"/>
      <c r="Q62"/>
      <c r="R62"/>
    </row>
    <row r="63" spans="1:18" ht="14.4" x14ac:dyDescent="0.3">
      <c r="A63"/>
      <c r="B63"/>
      <c r="C63"/>
      <c r="D63"/>
      <c r="E63"/>
      <c r="F63"/>
      <c r="G63"/>
      <c r="H63"/>
      <c r="I63"/>
      <c r="J63"/>
      <c r="K63"/>
      <c r="L63"/>
      <c r="M63"/>
      <c r="N63"/>
      <c r="O63"/>
      <c r="P63"/>
      <c r="Q63"/>
      <c r="R63"/>
    </row>
    <row r="64" spans="1:18" ht="14.4" x14ac:dyDescent="0.3">
      <c r="A64"/>
      <c r="B64"/>
      <c r="C64"/>
      <c r="D64"/>
      <c r="E64"/>
      <c r="F64"/>
      <c r="G64"/>
      <c r="H64"/>
      <c r="I64"/>
      <c r="J64"/>
      <c r="K64"/>
      <c r="L64"/>
      <c r="M64"/>
      <c r="N64"/>
      <c r="O64"/>
      <c r="P64"/>
      <c r="Q64"/>
      <c r="R64"/>
    </row>
    <row r="65" spans="1:18" ht="14.4" x14ac:dyDescent="0.3">
      <c r="A65"/>
      <c r="B65"/>
      <c r="C65"/>
      <c r="D65"/>
      <c r="E65"/>
      <c r="F65"/>
      <c r="G65"/>
      <c r="H65"/>
      <c r="I65"/>
      <c r="J65"/>
      <c r="K65"/>
      <c r="L65"/>
      <c r="M65"/>
      <c r="N65"/>
      <c r="O65"/>
      <c r="P65"/>
      <c r="Q65"/>
      <c r="R65"/>
    </row>
    <row r="66" spans="1:18" ht="14.4" x14ac:dyDescent="0.3">
      <c r="A66"/>
      <c r="B66"/>
      <c r="C66"/>
      <c r="D66"/>
      <c r="E66"/>
      <c r="F66"/>
      <c r="G66"/>
      <c r="H66"/>
      <c r="I66"/>
      <c r="J66"/>
      <c r="K66"/>
      <c r="L66"/>
      <c r="M66"/>
      <c r="N66"/>
      <c r="O66"/>
      <c r="P66"/>
      <c r="Q66"/>
      <c r="R66"/>
    </row>
    <row r="67" spans="1:18" ht="14.4" x14ac:dyDescent="0.3">
      <c r="A67"/>
      <c r="B67"/>
      <c r="C67"/>
      <c r="D67"/>
      <c r="E67"/>
      <c r="F67"/>
      <c r="G67"/>
      <c r="H67"/>
      <c r="I67"/>
      <c r="J67"/>
      <c r="K67"/>
      <c r="L67"/>
      <c r="M67"/>
      <c r="N67"/>
      <c r="O67"/>
      <c r="P67"/>
      <c r="Q67"/>
      <c r="R67"/>
    </row>
    <row r="68" spans="1:18" ht="14.4" x14ac:dyDescent="0.3">
      <c r="A68"/>
      <c r="B68"/>
      <c r="C68"/>
      <c r="D68"/>
      <c r="E68"/>
      <c r="F68"/>
      <c r="G68"/>
      <c r="H68"/>
      <c r="I68"/>
      <c r="J68"/>
      <c r="K68"/>
      <c r="L68"/>
      <c r="M68"/>
      <c r="N68"/>
      <c r="O68"/>
      <c r="P68"/>
      <c r="Q68"/>
      <c r="R68"/>
    </row>
    <row r="69" spans="1:18" ht="14.4" x14ac:dyDescent="0.3">
      <c r="A69"/>
      <c r="B69"/>
      <c r="C69"/>
      <c r="D69"/>
      <c r="E69"/>
      <c r="F69"/>
      <c r="G69"/>
      <c r="H69"/>
      <c r="I69"/>
      <c r="J69"/>
      <c r="K69"/>
      <c r="L69"/>
      <c r="M69"/>
      <c r="N69"/>
      <c r="O69"/>
      <c r="P69"/>
      <c r="Q69"/>
      <c r="R69"/>
    </row>
    <row r="70" spans="1:18" ht="14.4" x14ac:dyDescent="0.3">
      <c r="A70"/>
      <c r="B70"/>
      <c r="C70"/>
      <c r="D70"/>
      <c r="E70"/>
      <c r="F70"/>
      <c r="G70"/>
      <c r="H70"/>
      <c r="I70"/>
      <c r="J70"/>
      <c r="K70"/>
      <c r="L70"/>
      <c r="M70"/>
      <c r="N70"/>
      <c r="O70"/>
      <c r="P70"/>
      <c r="Q70"/>
      <c r="R70"/>
    </row>
    <row r="71" spans="1:18" ht="14.4" x14ac:dyDescent="0.3">
      <c r="A71"/>
      <c r="B71"/>
      <c r="C71"/>
      <c r="D71"/>
      <c r="E71"/>
      <c r="F71"/>
      <c r="G71"/>
      <c r="H71"/>
      <c r="I71"/>
      <c r="J71"/>
      <c r="K71"/>
      <c r="L71"/>
      <c r="M71"/>
      <c r="N71"/>
      <c r="O71"/>
      <c r="P71"/>
      <c r="Q71"/>
      <c r="R71"/>
    </row>
    <row r="72" spans="1:18" ht="14.4" x14ac:dyDescent="0.3">
      <c r="A72"/>
      <c r="B72"/>
      <c r="C72"/>
      <c r="D72"/>
      <c r="E72"/>
      <c r="F72"/>
      <c r="G72"/>
      <c r="H72"/>
      <c r="I72"/>
      <c r="J72"/>
      <c r="K72"/>
      <c r="L72"/>
      <c r="M72"/>
      <c r="N72"/>
      <c r="O72"/>
      <c r="P72"/>
      <c r="Q72"/>
      <c r="R72"/>
    </row>
    <row r="73" spans="1:18" ht="14.4" x14ac:dyDescent="0.3">
      <c r="A73"/>
      <c r="B73"/>
      <c r="C73"/>
      <c r="D73"/>
      <c r="E73"/>
      <c r="F73"/>
      <c r="G73"/>
      <c r="H73"/>
      <c r="I73"/>
      <c r="J73"/>
      <c r="K73"/>
      <c r="L73"/>
      <c r="M73"/>
      <c r="N73"/>
      <c r="O73"/>
      <c r="P73"/>
      <c r="Q73"/>
      <c r="R73"/>
    </row>
    <row r="74" spans="1:18" ht="14.4" x14ac:dyDescent="0.3">
      <c r="A74"/>
      <c r="B74"/>
      <c r="C74"/>
      <c r="D74"/>
      <c r="E74"/>
      <c r="F74"/>
      <c r="G74"/>
      <c r="H74"/>
      <c r="I74"/>
      <c r="J74"/>
      <c r="K74"/>
      <c r="L74"/>
      <c r="M74"/>
      <c r="N74"/>
      <c r="O74"/>
      <c r="P74"/>
      <c r="Q74"/>
      <c r="R74"/>
    </row>
    <row r="75" spans="1:18" ht="14.4" x14ac:dyDescent="0.3">
      <c r="A75"/>
      <c r="B75"/>
      <c r="C75"/>
      <c r="D75"/>
      <c r="E75"/>
      <c r="F75"/>
      <c r="G75"/>
      <c r="H75"/>
      <c r="I75"/>
      <c r="J75"/>
      <c r="K75"/>
      <c r="L75"/>
      <c r="M75"/>
      <c r="N75"/>
      <c r="O75"/>
      <c r="P75"/>
      <c r="Q75"/>
      <c r="R75"/>
    </row>
    <row r="76" spans="1:18" ht="14.4" x14ac:dyDescent="0.3">
      <c r="A76"/>
      <c r="B76"/>
      <c r="C76"/>
      <c r="D76"/>
      <c r="E76"/>
      <c r="F76"/>
      <c r="G76"/>
      <c r="H76"/>
      <c r="I76"/>
      <c r="J76"/>
      <c r="K76"/>
      <c r="L76"/>
      <c r="M76"/>
      <c r="N76"/>
      <c r="O76"/>
      <c r="P76"/>
      <c r="Q76"/>
      <c r="R76"/>
    </row>
    <row r="77" spans="1:18" ht="14.4" x14ac:dyDescent="0.3">
      <c r="A77"/>
      <c r="B77"/>
      <c r="C77"/>
      <c r="D77"/>
      <c r="E77"/>
      <c r="F77"/>
      <c r="G77"/>
      <c r="H77"/>
      <c r="I77"/>
      <c r="J77"/>
      <c r="K77"/>
      <c r="L77"/>
      <c r="M77"/>
      <c r="N77"/>
      <c r="O77"/>
      <c r="P77"/>
      <c r="Q77"/>
      <c r="R77"/>
    </row>
    <row r="78" spans="1:18" ht="14.4" x14ac:dyDescent="0.3">
      <c r="A78"/>
      <c r="B78"/>
      <c r="C78"/>
      <c r="D78"/>
      <c r="E78"/>
      <c r="F78"/>
      <c r="G78"/>
      <c r="H78"/>
      <c r="I78"/>
      <c r="J78"/>
      <c r="K78"/>
      <c r="L78"/>
      <c r="M78"/>
      <c r="N78"/>
      <c r="O78"/>
      <c r="P78"/>
      <c r="Q78"/>
      <c r="R78"/>
    </row>
    <row r="79" spans="1:18" ht="14.4" x14ac:dyDescent="0.3">
      <c r="A79"/>
      <c r="B79"/>
      <c r="C79"/>
      <c r="D79"/>
      <c r="E79"/>
      <c r="F79"/>
      <c r="G79"/>
      <c r="H79"/>
      <c r="I79"/>
      <c r="J79"/>
      <c r="K79"/>
      <c r="L79"/>
      <c r="M79"/>
      <c r="N79"/>
      <c r="O79"/>
      <c r="P79"/>
      <c r="Q79"/>
      <c r="R79"/>
    </row>
    <row r="80" spans="1:18" ht="14.4" x14ac:dyDescent="0.3">
      <c r="A80"/>
      <c r="B80"/>
      <c r="C80"/>
      <c r="D80"/>
      <c r="E80"/>
      <c r="F80"/>
      <c r="G80"/>
      <c r="H80"/>
      <c r="I80"/>
      <c r="J80"/>
      <c r="K80"/>
      <c r="L80"/>
      <c r="M80"/>
      <c r="N80"/>
      <c r="O80"/>
      <c r="P80"/>
      <c r="Q80"/>
      <c r="R80"/>
    </row>
    <row r="81" spans="1:18" ht="14.4" x14ac:dyDescent="0.3">
      <c r="A81"/>
      <c r="B81"/>
      <c r="C81"/>
      <c r="D81"/>
      <c r="E81"/>
      <c r="F81"/>
      <c r="G81"/>
      <c r="H81"/>
      <c r="I81"/>
      <c r="J81"/>
      <c r="K81"/>
      <c r="L81"/>
      <c r="M81"/>
      <c r="N81"/>
      <c r="O81"/>
      <c r="P81"/>
      <c r="Q81"/>
      <c r="R81"/>
    </row>
    <row r="82" spans="1:18" ht="14.4" x14ac:dyDescent="0.3">
      <c r="A82"/>
      <c r="B82"/>
      <c r="C82"/>
      <c r="D82"/>
      <c r="E82"/>
      <c r="F82"/>
      <c r="G82"/>
      <c r="H82"/>
      <c r="I82"/>
      <c r="J82"/>
      <c r="K82"/>
      <c r="L82"/>
      <c r="M82"/>
      <c r="N82"/>
      <c r="O82"/>
      <c r="P82"/>
      <c r="Q82"/>
      <c r="R82"/>
    </row>
    <row r="83" spans="1:18" ht="14.4" x14ac:dyDescent="0.3">
      <c r="A83"/>
      <c r="B83"/>
      <c r="C83"/>
      <c r="D83"/>
      <c r="E83"/>
      <c r="F83"/>
      <c r="G83"/>
      <c r="H83"/>
      <c r="I83"/>
      <c r="J83"/>
      <c r="K83"/>
      <c r="L83"/>
      <c r="M83"/>
      <c r="N83"/>
      <c r="O83"/>
      <c r="P83"/>
      <c r="Q83"/>
      <c r="R83"/>
    </row>
    <row r="84" spans="1:18" ht="14.4" x14ac:dyDescent="0.3">
      <c r="A84"/>
      <c r="B84"/>
      <c r="C84"/>
      <c r="D84"/>
      <c r="E84"/>
      <c r="F84"/>
      <c r="G84"/>
      <c r="H84"/>
      <c r="I84"/>
      <c r="J84"/>
      <c r="K84"/>
      <c r="L84"/>
      <c r="M84"/>
      <c r="N84"/>
      <c r="O84"/>
      <c r="P84"/>
      <c r="Q84"/>
      <c r="R84"/>
    </row>
    <row r="85" spans="1:18" ht="14.4" x14ac:dyDescent="0.3">
      <c r="A85"/>
      <c r="B85"/>
      <c r="C85"/>
      <c r="D85"/>
      <c r="E85"/>
      <c r="F85"/>
      <c r="G85"/>
      <c r="H85"/>
      <c r="I85"/>
      <c r="J85"/>
      <c r="K85"/>
      <c r="L85"/>
      <c r="M85"/>
      <c r="N85"/>
      <c r="O85"/>
      <c r="P85"/>
      <c r="Q85"/>
      <c r="R85"/>
    </row>
    <row r="86" spans="1:18" ht="14.4" x14ac:dyDescent="0.3">
      <c r="A86"/>
      <c r="B86"/>
      <c r="C86"/>
      <c r="D86"/>
      <c r="E86"/>
      <c r="F86"/>
      <c r="G86"/>
      <c r="H86"/>
      <c r="I86"/>
      <c r="J86"/>
      <c r="K86"/>
      <c r="L86"/>
      <c r="M86"/>
      <c r="N86"/>
      <c r="O86"/>
      <c r="P86"/>
      <c r="Q86"/>
      <c r="R86"/>
    </row>
    <row r="87" spans="1:18" ht="14.4" x14ac:dyDescent="0.3">
      <c r="A87"/>
      <c r="B87"/>
      <c r="C87"/>
      <c r="D87"/>
      <c r="E87"/>
      <c r="F87"/>
      <c r="G87"/>
      <c r="H87"/>
      <c r="I87"/>
      <c r="J87"/>
      <c r="K87"/>
      <c r="L87"/>
      <c r="M87"/>
      <c r="N87"/>
      <c r="O87"/>
      <c r="P87"/>
      <c r="Q87"/>
      <c r="R87"/>
    </row>
    <row r="88" spans="1:18" ht="14.4" x14ac:dyDescent="0.3">
      <c r="A88"/>
      <c r="B88"/>
      <c r="C88"/>
      <c r="D88"/>
      <c r="E88"/>
      <c r="F88"/>
      <c r="G88"/>
      <c r="H88"/>
      <c r="I88"/>
      <c r="J88"/>
      <c r="K88"/>
      <c r="L88"/>
      <c r="M88"/>
      <c r="N88"/>
      <c r="O88"/>
      <c r="P88"/>
      <c r="Q88"/>
      <c r="R88"/>
    </row>
    <row r="89" spans="1:18" ht="14.4" x14ac:dyDescent="0.3">
      <c r="A89"/>
      <c r="B89"/>
      <c r="C89"/>
      <c r="D89"/>
      <c r="E89"/>
      <c r="F89"/>
      <c r="G89"/>
      <c r="H89"/>
      <c r="I89"/>
      <c r="J89"/>
      <c r="K89"/>
      <c r="L89"/>
      <c r="M89"/>
      <c r="N89"/>
      <c r="O89"/>
      <c r="P89"/>
      <c r="Q89"/>
      <c r="R89"/>
    </row>
    <row r="90" spans="1:18" ht="14.4" x14ac:dyDescent="0.3">
      <c r="A90"/>
      <c r="B90"/>
      <c r="C90"/>
      <c r="D90"/>
      <c r="E90"/>
      <c r="F90"/>
      <c r="G90"/>
      <c r="H90"/>
      <c r="I90"/>
      <c r="J90"/>
      <c r="K90"/>
      <c r="L90"/>
      <c r="M90"/>
      <c r="N90"/>
      <c r="O90"/>
      <c r="P90"/>
      <c r="Q90"/>
      <c r="R90"/>
    </row>
    <row r="91" spans="1:18" ht="14.4" x14ac:dyDescent="0.3">
      <c r="A91"/>
      <c r="B91"/>
      <c r="C91"/>
      <c r="D91"/>
      <c r="E91"/>
      <c r="F91"/>
      <c r="G91"/>
      <c r="H91"/>
      <c r="I91"/>
      <c r="J91"/>
      <c r="K91"/>
      <c r="L91"/>
      <c r="M91"/>
      <c r="N91"/>
      <c r="O91"/>
      <c r="P91"/>
      <c r="Q91"/>
      <c r="R91"/>
    </row>
    <row r="92" spans="1:18" ht="14.4" x14ac:dyDescent="0.3">
      <c r="A92"/>
      <c r="B92"/>
      <c r="C92"/>
      <c r="D92"/>
      <c r="E92"/>
      <c r="F92"/>
      <c r="G92"/>
      <c r="H92"/>
      <c r="I92"/>
      <c r="J92"/>
      <c r="K92"/>
      <c r="L92"/>
      <c r="M92"/>
      <c r="N92"/>
      <c r="O92"/>
      <c r="P92"/>
      <c r="Q92"/>
      <c r="R92"/>
    </row>
    <row r="93" spans="1:18" ht="14.4" x14ac:dyDescent="0.3">
      <c r="A93"/>
      <c r="B93"/>
      <c r="C93"/>
      <c r="D93"/>
      <c r="E93"/>
      <c r="F93"/>
      <c r="G93"/>
      <c r="H93"/>
      <c r="I93"/>
      <c r="J93"/>
      <c r="K93"/>
      <c r="L93"/>
      <c r="M93"/>
      <c r="N93"/>
      <c r="O93"/>
      <c r="P93"/>
      <c r="Q93"/>
      <c r="R93"/>
    </row>
    <row r="94" spans="1:18" ht="14.4" x14ac:dyDescent="0.3">
      <c r="A94"/>
      <c r="B94"/>
      <c r="C94"/>
      <c r="D94"/>
      <c r="E94"/>
      <c r="F94"/>
      <c r="G94"/>
      <c r="H94"/>
      <c r="I94"/>
      <c r="J94"/>
      <c r="K94"/>
      <c r="L94"/>
      <c r="M94"/>
      <c r="N94"/>
      <c r="O94"/>
      <c r="P94"/>
      <c r="Q94"/>
      <c r="R94"/>
    </row>
    <row r="95" spans="1:18" ht="14.4" x14ac:dyDescent="0.3">
      <c r="A95"/>
      <c r="B95"/>
      <c r="C95"/>
      <c r="D95"/>
      <c r="E95"/>
      <c r="F95"/>
      <c r="G95"/>
      <c r="H95"/>
      <c r="I95"/>
      <c r="J95"/>
      <c r="K95"/>
      <c r="L95"/>
      <c r="M95"/>
      <c r="N95"/>
      <c r="O95"/>
      <c r="P95"/>
      <c r="Q95"/>
      <c r="R95"/>
    </row>
    <row r="96" spans="1:18" ht="14.4" x14ac:dyDescent="0.3">
      <c r="A96"/>
      <c r="B96"/>
      <c r="C96"/>
      <c r="D96"/>
      <c r="E96"/>
      <c r="F96"/>
      <c r="G96"/>
      <c r="H96"/>
      <c r="I96"/>
      <c r="J96"/>
      <c r="K96"/>
      <c r="L96"/>
      <c r="M96"/>
      <c r="N96"/>
      <c r="O96"/>
      <c r="P96"/>
      <c r="Q96"/>
      <c r="R96"/>
    </row>
    <row r="97" spans="1:18" ht="14.4" x14ac:dyDescent="0.3">
      <c r="A97"/>
      <c r="B97"/>
      <c r="C97"/>
      <c r="D97"/>
      <c r="E97"/>
      <c r="F97"/>
      <c r="G97"/>
      <c r="H97"/>
      <c r="I97"/>
      <c r="J97"/>
      <c r="K97"/>
      <c r="L97"/>
      <c r="M97"/>
      <c r="N97"/>
      <c r="O97"/>
      <c r="P97"/>
      <c r="Q97"/>
      <c r="R97"/>
    </row>
    <row r="98" spans="1:18" ht="14.4" x14ac:dyDescent="0.3">
      <c r="A98"/>
      <c r="B98"/>
      <c r="C98"/>
      <c r="D98"/>
      <c r="E98"/>
      <c r="F98"/>
      <c r="G98"/>
      <c r="H98"/>
      <c r="I98"/>
      <c r="J98"/>
      <c r="K98"/>
      <c r="L98"/>
      <c r="M98"/>
      <c r="N98"/>
      <c r="O98"/>
      <c r="P98"/>
      <c r="Q98"/>
      <c r="R98"/>
    </row>
    <row r="99" spans="1:18" ht="14.4" x14ac:dyDescent="0.3">
      <c r="A99"/>
      <c r="B99"/>
      <c r="C99"/>
      <c r="D99"/>
      <c r="E99"/>
      <c r="F99"/>
      <c r="G99"/>
      <c r="H99"/>
      <c r="I99"/>
      <c r="J99"/>
      <c r="K99"/>
      <c r="L99"/>
      <c r="M99"/>
      <c r="N99"/>
      <c r="O99"/>
      <c r="P99"/>
      <c r="Q99"/>
      <c r="R99"/>
    </row>
    <row r="100" spans="1:18" ht="14.4" x14ac:dyDescent="0.3">
      <c r="A100"/>
      <c r="B100"/>
      <c r="C100"/>
      <c r="D100"/>
      <c r="E100"/>
      <c r="F100"/>
      <c r="G100"/>
      <c r="H100"/>
      <c r="I100"/>
      <c r="J100"/>
      <c r="K100"/>
      <c r="L100"/>
      <c r="M100"/>
      <c r="N100"/>
      <c r="O100"/>
      <c r="P100"/>
      <c r="Q100"/>
      <c r="R100"/>
    </row>
    <row r="101" spans="1:18" ht="14.4" x14ac:dyDescent="0.3">
      <c r="A101"/>
      <c r="B101"/>
      <c r="C101"/>
      <c r="D101"/>
      <c r="E101"/>
      <c r="F101"/>
      <c r="G101"/>
      <c r="H101"/>
      <c r="I101"/>
      <c r="J101"/>
      <c r="K101"/>
      <c r="L101"/>
      <c r="M101"/>
      <c r="N101"/>
      <c r="O101"/>
      <c r="P101"/>
      <c r="Q101"/>
      <c r="R101"/>
    </row>
    <row r="102" spans="1:18" ht="14.4" x14ac:dyDescent="0.3">
      <c r="A102"/>
      <c r="B102"/>
      <c r="C102"/>
      <c r="D102"/>
      <c r="E102"/>
      <c r="F102"/>
      <c r="G102"/>
      <c r="H102"/>
      <c r="I102"/>
      <c r="J102"/>
      <c r="K102"/>
      <c r="L102"/>
      <c r="M102"/>
      <c r="N102"/>
      <c r="O102"/>
      <c r="P102"/>
      <c r="Q102"/>
      <c r="R102"/>
    </row>
    <row r="103" spans="1:18" ht="14.4" x14ac:dyDescent="0.3">
      <c r="A103"/>
      <c r="B103"/>
      <c r="C103"/>
      <c r="D103"/>
      <c r="E103"/>
      <c r="F103"/>
      <c r="G103"/>
      <c r="H103"/>
      <c r="I103"/>
      <c r="J103"/>
      <c r="K103"/>
      <c r="L103"/>
      <c r="M103"/>
      <c r="N103"/>
      <c r="O103"/>
      <c r="P103"/>
      <c r="Q103"/>
      <c r="R103"/>
    </row>
    <row r="104" spans="1:18" ht="14.4" x14ac:dyDescent="0.3">
      <c r="A104"/>
      <c r="B104"/>
      <c r="C104"/>
      <c r="D104"/>
      <c r="E104"/>
      <c r="F104"/>
      <c r="G104"/>
      <c r="H104"/>
      <c r="I104"/>
      <c r="J104"/>
      <c r="K104"/>
      <c r="L104"/>
      <c r="M104"/>
      <c r="N104"/>
      <c r="O104"/>
      <c r="P104"/>
      <c r="Q104"/>
      <c r="R104"/>
    </row>
    <row r="105" spans="1:18" ht="14.4" x14ac:dyDescent="0.3">
      <c r="A105"/>
      <c r="B105"/>
      <c r="C105"/>
      <c r="D105"/>
      <c r="E105"/>
      <c r="F105"/>
      <c r="G105"/>
      <c r="H105"/>
      <c r="I105"/>
      <c r="J105"/>
      <c r="K105"/>
      <c r="L105"/>
      <c r="M105"/>
      <c r="N105"/>
      <c r="O105"/>
      <c r="P105"/>
      <c r="Q105"/>
      <c r="R105"/>
    </row>
    <row r="106" spans="1:18" ht="14.4" x14ac:dyDescent="0.3">
      <c r="A106"/>
      <c r="B106"/>
      <c r="C106"/>
      <c r="D106"/>
      <c r="E106"/>
      <c r="F106"/>
      <c r="G106"/>
      <c r="H106"/>
      <c r="I106"/>
      <c r="J106"/>
      <c r="K106"/>
      <c r="L106"/>
      <c r="M106"/>
      <c r="N106"/>
      <c r="O106"/>
      <c r="P106"/>
      <c r="Q106"/>
      <c r="R106"/>
    </row>
    <row r="107" spans="1:18" ht="14.4" x14ac:dyDescent="0.3">
      <c r="A107"/>
      <c r="B107"/>
      <c r="C107"/>
      <c r="D107"/>
      <c r="E107"/>
      <c r="F107"/>
      <c r="G107"/>
      <c r="H107"/>
      <c r="I107"/>
      <c r="J107"/>
      <c r="K107"/>
      <c r="L107"/>
      <c r="M107"/>
      <c r="N107"/>
      <c r="O107"/>
      <c r="P107"/>
      <c r="Q107"/>
      <c r="R107"/>
    </row>
    <row r="108" spans="1:18" ht="14.4" x14ac:dyDescent="0.3">
      <c r="A108"/>
      <c r="B108"/>
      <c r="C108"/>
      <c r="D108"/>
      <c r="E108"/>
      <c r="F108"/>
      <c r="G108"/>
      <c r="H108"/>
      <c r="I108"/>
      <c r="J108"/>
      <c r="K108"/>
      <c r="L108"/>
      <c r="M108"/>
      <c r="N108"/>
      <c r="O108"/>
      <c r="P108"/>
      <c r="Q108"/>
      <c r="R108"/>
    </row>
    <row r="109" spans="1:18" ht="14.4" x14ac:dyDescent="0.3">
      <c r="A109"/>
      <c r="B109"/>
      <c r="C109"/>
      <c r="D109"/>
      <c r="E109"/>
      <c r="F109"/>
      <c r="G109"/>
      <c r="H109"/>
      <c r="I109"/>
      <c r="J109"/>
      <c r="K109"/>
      <c r="L109"/>
      <c r="M109"/>
      <c r="N109"/>
      <c r="O109"/>
      <c r="P109"/>
      <c r="Q109"/>
      <c r="R109"/>
    </row>
    <row r="110" spans="1:18" ht="14.4" x14ac:dyDescent="0.3">
      <c r="A110"/>
      <c r="B110"/>
      <c r="C110"/>
      <c r="D110"/>
      <c r="E110"/>
      <c r="F110"/>
      <c r="G110"/>
      <c r="H110"/>
      <c r="I110"/>
      <c r="J110"/>
      <c r="K110"/>
      <c r="L110"/>
      <c r="M110"/>
      <c r="N110"/>
      <c r="O110"/>
      <c r="P110"/>
      <c r="Q110"/>
      <c r="R110"/>
    </row>
    <row r="111" spans="1:18" ht="14.4" x14ac:dyDescent="0.3">
      <c r="A111"/>
      <c r="B111"/>
      <c r="C111"/>
      <c r="D111"/>
      <c r="E111"/>
      <c r="F111"/>
      <c r="G111"/>
      <c r="H111"/>
      <c r="I111"/>
      <c r="J111"/>
      <c r="K111"/>
      <c r="L111"/>
      <c r="M111"/>
      <c r="N111"/>
      <c r="O111"/>
      <c r="P111"/>
      <c r="Q111"/>
      <c r="R111"/>
    </row>
    <row r="112" spans="1:18" ht="14.4" x14ac:dyDescent="0.3">
      <c r="A112"/>
      <c r="B112"/>
      <c r="C112"/>
      <c r="D112"/>
      <c r="E112"/>
      <c r="F112"/>
      <c r="G112"/>
      <c r="H112"/>
      <c r="I112"/>
      <c r="J112"/>
      <c r="K112"/>
      <c r="L112"/>
      <c r="M112"/>
      <c r="N112"/>
      <c r="O112"/>
      <c r="P112"/>
      <c r="Q112"/>
      <c r="R112"/>
    </row>
    <row r="113" spans="1:18" ht="14.4" x14ac:dyDescent="0.3">
      <c r="A113"/>
      <c r="B113"/>
      <c r="C113"/>
      <c r="D113"/>
      <c r="E113"/>
      <c r="F113"/>
      <c r="G113"/>
      <c r="H113"/>
      <c r="I113"/>
      <c r="J113"/>
      <c r="K113"/>
      <c r="L113"/>
      <c r="M113"/>
      <c r="N113"/>
      <c r="O113"/>
      <c r="P113"/>
      <c r="Q113"/>
      <c r="R113"/>
    </row>
    <row r="114" spans="1:18" ht="14.4" x14ac:dyDescent="0.3">
      <c r="A114"/>
      <c r="B114"/>
      <c r="C114"/>
      <c r="D114"/>
      <c r="E114"/>
      <c r="F114"/>
      <c r="G114"/>
      <c r="H114"/>
      <c r="I114"/>
      <c r="J114"/>
      <c r="K114"/>
      <c r="L114"/>
      <c r="M114"/>
      <c r="N114"/>
      <c r="O114"/>
      <c r="P114"/>
      <c r="Q114"/>
      <c r="R114"/>
    </row>
    <row r="115" spans="1:18" ht="14.4" x14ac:dyDescent="0.3">
      <c r="A115"/>
      <c r="B115"/>
      <c r="C115"/>
      <c r="D115"/>
      <c r="E115"/>
      <c r="F115"/>
      <c r="G115"/>
      <c r="H115"/>
      <c r="I115"/>
      <c r="J115"/>
      <c r="K115"/>
      <c r="L115"/>
      <c r="M115"/>
      <c r="N115"/>
      <c r="O115"/>
      <c r="P115"/>
      <c r="Q115"/>
      <c r="R115"/>
    </row>
    <row r="116" spans="1:18" ht="14.4" x14ac:dyDescent="0.3">
      <c r="A116"/>
      <c r="B116"/>
      <c r="C116"/>
      <c r="D116"/>
      <c r="E116"/>
      <c r="F116"/>
      <c r="G116"/>
      <c r="H116"/>
      <c r="I116"/>
      <c r="J116"/>
      <c r="K116"/>
      <c r="L116"/>
      <c r="M116"/>
      <c r="N116"/>
      <c r="O116"/>
      <c r="P116"/>
      <c r="Q116"/>
      <c r="R116"/>
    </row>
    <row r="117" spans="1:18" ht="14.4" x14ac:dyDescent="0.3">
      <c r="A117"/>
      <c r="B117"/>
      <c r="C117"/>
      <c r="D117"/>
      <c r="E117"/>
      <c r="F117"/>
      <c r="G117"/>
      <c r="H117"/>
      <c r="I117"/>
      <c r="J117"/>
      <c r="K117"/>
      <c r="L117"/>
      <c r="M117"/>
      <c r="N117"/>
      <c r="O117"/>
      <c r="P117"/>
      <c r="Q117"/>
      <c r="R117"/>
    </row>
    <row r="118" spans="1:18" ht="14.4" x14ac:dyDescent="0.3">
      <c r="A118"/>
      <c r="B118"/>
      <c r="C118"/>
      <c r="D118"/>
      <c r="E118"/>
      <c r="F118"/>
      <c r="G118"/>
      <c r="H118"/>
      <c r="I118"/>
      <c r="J118"/>
      <c r="K118"/>
      <c r="L118"/>
      <c r="M118"/>
      <c r="N118"/>
      <c r="O118"/>
      <c r="P118"/>
      <c r="Q118"/>
      <c r="R118"/>
    </row>
    <row r="119" spans="1:18" ht="14.4" x14ac:dyDescent="0.3">
      <c r="A119"/>
      <c r="B119"/>
      <c r="C119"/>
      <c r="D119"/>
      <c r="E119"/>
      <c r="F119"/>
      <c r="G119"/>
      <c r="H119"/>
      <c r="I119"/>
      <c r="J119"/>
      <c r="K119"/>
      <c r="L119"/>
      <c r="M119"/>
      <c r="N119"/>
      <c r="O119"/>
      <c r="P119"/>
      <c r="Q119"/>
      <c r="R119"/>
    </row>
    <row r="120" spans="1:18" ht="14.4" x14ac:dyDescent="0.3">
      <c r="A120"/>
      <c r="B120"/>
      <c r="C120"/>
      <c r="D120"/>
      <c r="E120"/>
      <c r="F120"/>
      <c r="G120"/>
      <c r="H120"/>
      <c r="I120"/>
      <c r="J120"/>
      <c r="K120"/>
      <c r="L120"/>
      <c r="M120"/>
      <c r="N120"/>
      <c r="O120"/>
      <c r="P120"/>
      <c r="Q120"/>
      <c r="R120"/>
    </row>
    <row r="121" spans="1:18" ht="14.4" x14ac:dyDescent="0.3">
      <c r="A121"/>
      <c r="B121"/>
      <c r="C121"/>
      <c r="D121"/>
      <c r="E121"/>
      <c r="F121"/>
      <c r="G121"/>
      <c r="H121"/>
      <c r="I121"/>
      <c r="J121"/>
      <c r="K121"/>
      <c r="L121"/>
      <c r="M121"/>
      <c r="N121"/>
      <c r="O121"/>
      <c r="P121"/>
      <c r="Q121"/>
      <c r="R121"/>
    </row>
    <row r="122" spans="1:18" ht="14.4" x14ac:dyDescent="0.3">
      <c r="A122"/>
      <c r="B122"/>
      <c r="C122"/>
      <c r="D122"/>
      <c r="E122"/>
      <c r="F122"/>
      <c r="G122"/>
      <c r="H122"/>
      <c r="I122"/>
      <c r="J122"/>
      <c r="K122"/>
      <c r="L122"/>
      <c r="M122"/>
      <c r="N122"/>
      <c r="O122"/>
      <c r="P122"/>
      <c r="Q122"/>
      <c r="R122"/>
    </row>
    <row r="123" spans="1:18" ht="14.4" x14ac:dyDescent="0.3">
      <c r="A123"/>
      <c r="B123"/>
      <c r="C123"/>
      <c r="D123"/>
      <c r="E123"/>
      <c r="F123"/>
      <c r="G123"/>
      <c r="H123"/>
      <c r="I123"/>
      <c r="J123"/>
      <c r="K123"/>
      <c r="L123"/>
      <c r="M123"/>
      <c r="N123"/>
      <c r="O123"/>
      <c r="P123"/>
      <c r="Q123"/>
      <c r="R123"/>
    </row>
    <row r="124" spans="1:18" ht="14.4" x14ac:dyDescent="0.3">
      <c r="A124"/>
      <c r="B124"/>
      <c r="C124"/>
      <c r="D124"/>
      <c r="E124"/>
      <c r="F124"/>
      <c r="G124"/>
      <c r="H124"/>
      <c r="I124"/>
      <c r="J124"/>
      <c r="K124"/>
      <c r="L124"/>
      <c r="M124"/>
      <c r="N124"/>
      <c r="O124"/>
      <c r="P124"/>
      <c r="Q124"/>
      <c r="R124"/>
    </row>
    <row r="125" spans="1:18" ht="14.4" x14ac:dyDescent="0.3">
      <c r="A125"/>
      <c r="B125"/>
      <c r="C125"/>
      <c r="D125"/>
      <c r="E125"/>
      <c r="F125"/>
      <c r="G125"/>
      <c r="H125"/>
      <c r="I125"/>
      <c r="J125"/>
      <c r="K125"/>
      <c r="L125"/>
      <c r="M125"/>
      <c r="N125"/>
      <c r="O125"/>
      <c r="P125"/>
      <c r="Q125"/>
      <c r="R125"/>
    </row>
    <row r="126" spans="1:18" ht="14.4" x14ac:dyDescent="0.3">
      <c r="A126"/>
      <c r="B126"/>
      <c r="C126"/>
      <c r="D126"/>
      <c r="E126"/>
      <c r="F126"/>
      <c r="G126"/>
      <c r="H126"/>
      <c r="I126"/>
      <c r="J126"/>
      <c r="K126"/>
      <c r="L126"/>
      <c r="M126"/>
      <c r="N126"/>
      <c r="O126"/>
      <c r="P126"/>
      <c r="Q126"/>
      <c r="R126"/>
    </row>
    <row r="127" spans="1:18" ht="14.4" x14ac:dyDescent="0.3">
      <c r="A127"/>
      <c r="B127"/>
      <c r="C127"/>
      <c r="D127"/>
      <c r="E127"/>
      <c r="F127"/>
      <c r="G127"/>
      <c r="H127"/>
      <c r="I127"/>
      <c r="J127"/>
      <c r="K127"/>
      <c r="L127"/>
      <c r="M127"/>
      <c r="N127"/>
      <c r="O127"/>
      <c r="P127"/>
      <c r="Q127"/>
      <c r="R127"/>
    </row>
    <row r="128" spans="1:18" ht="14.4" x14ac:dyDescent="0.3">
      <c r="A128"/>
      <c r="B128"/>
      <c r="C128"/>
      <c r="D128"/>
      <c r="E128"/>
      <c r="F128"/>
      <c r="G128"/>
      <c r="H128"/>
      <c r="I128"/>
      <c r="J128"/>
      <c r="K128"/>
      <c r="L128"/>
      <c r="M128"/>
      <c r="N128"/>
      <c r="O128"/>
      <c r="P128"/>
      <c r="Q128"/>
      <c r="R128"/>
    </row>
    <row r="129" spans="1:18" ht="14.4" x14ac:dyDescent="0.3">
      <c r="A129"/>
      <c r="B129"/>
      <c r="C129"/>
      <c r="D129"/>
      <c r="E129"/>
      <c r="F129"/>
      <c r="G129"/>
      <c r="H129"/>
      <c r="I129"/>
      <c r="J129"/>
      <c r="K129"/>
      <c r="L129"/>
      <c r="M129"/>
      <c r="N129"/>
      <c r="O129"/>
      <c r="P129"/>
      <c r="Q129"/>
      <c r="R129"/>
    </row>
    <row r="130" spans="1:18" ht="14.4" x14ac:dyDescent="0.3">
      <c r="A130"/>
      <c r="B130"/>
      <c r="C130"/>
      <c r="D130"/>
      <c r="E130"/>
      <c r="F130"/>
      <c r="G130"/>
      <c r="H130"/>
      <c r="I130"/>
      <c r="J130"/>
      <c r="K130"/>
      <c r="L130"/>
      <c r="M130"/>
      <c r="N130"/>
      <c r="O130"/>
      <c r="P130"/>
      <c r="Q130"/>
      <c r="R130"/>
    </row>
    <row r="131" spans="1:18" ht="14.4" x14ac:dyDescent="0.3">
      <c r="A131"/>
      <c r="B131"/>
      <c r="C131"/>
      <c r="D131"/>
      <c r="E131"/>
      <c r="F131"/>
      <c r="G131"/>
      <c r="H131"/>
      <c r="I131"/>
      <c r="J131"/>
      <c r="K131"/>
      <c r="L131"/>
      <c r="M131"/>
      <c r="N131"/>
      <c r="O131"/>
      <c r="P131"/>
      <c r="Q131"/>
      <c r="R131"/>
    </row>
    <row r="132" spans="1:18" ht="14.4" x14ac:dyDescent="0.3">
      <c r="A132"/>
      <c r="B132"/>
      <c r="C132"/>
      <c r="D132"/>
      <c r="E132"/>
      <c r="F132"/>
      <c r="G132"/>
      <c r="H132"/>
      <c r="I132"/>
      <c r="J132"/>
      <c r="K132"/>
      <c r="L132"/>
      <c r="M132"/>
      <c r="N132"/>
      <c r="O132"/>
      <c r="P132"/>
      <c r="Q132"/>
      <c r="R132"/>
    </row>
    <row r="133" spans="1:18" ht="14.4" x14ac:dyDescent="0.3">
      <c r="A133"/>
      <c r="B133"/>
      <c r="C133"/>
      <c r="D133"/>
      <c r="E133"/>
      <c r="F133"/>
      <c r="G133"/>
      <c r="H133"/>
      <c r="I133"/>
      <c r="J133"/>
      <c r="K133"/>
      <c r="L133"/>
      <c r="M133"/>
      <c r="N133"/>
      <c r="O133"/>
      <c r="P133"/>
      <c r="Q133"/>
      <c r="R133"/>
    </row>
    <row r="134" spans="1:18" ht="14.4" x14ac:dyDescent="0.3">
      <c r="A134"/>
      <c r="B134"/>
      <c r="C134"/>
      <c r="D134"/>
      <c r="E134"/>
      <c r="F134"/>
      <c r="G134"/>
      <c r="H134"/>
      <c r="I134"/>
      <c r="J134"/>
      <c r="K134"/>
      <c r="L134"/>
      <c r="M134"/>
      <c r="N134"/>
      <c r="O134"/>
      <c r="P134"/>
      <c r="Q134"/>
      <c r="R134"/>
    </row>
    <row r="135" spans="1:18" ht="14.4" x14ac:dyDescent="0.3">
      <c r="A135"/>
      <c r="B135"/>
      <c r="C135"/>
      <c r="D135"/>
      <c r="E135"/>
      <c r="F135"/>
      <c r="G135"/>
      <c r="H135"/>
      <c r="I135"/>
      <c r="J135"/>
      <c r="K135"/>
      <c r="L135"/>
      <c r="M135"/>
      <c r="N135"/>
      <c r="O135"/>
      <c r="P135"/>
      <c r="Q135"/>
      <c r="R135"/>
    </row>
    <row r="136" spans="1:18" ht="14.4" x14ac:dyDescent="0.3">
      <c r="A136"/>
      <c r="B136"/>
      <c r="C136"/>
      <c r="D136"/>
      <c r="E136"/>
      <c r="F136"/>
      <c r="G136"/>
      <c r="H136"/>
      <c r="I136"/>
      <c r="J136"/>
      <c r="K136"/>
      <c r="L136"/>
      <c r="M136"/>
      <c r="N136"/>
      <c r="O136"/>
      <c r="P136"/>
      <c r="Q136"/>
      <c r="R136"/>
    </row>
    <row r="137" spans="1:18" ht="14.4" x14ac:dyDescent="0.3">
      <c r="A137"/>
      <c r="B137"/>
      <c r="C137"/>
      <c r="D137"/>
      <c r="E137"/>
      <c r="F137"/>
      <c r="G137"/>
      <c r="H137"/>
      <c r="I137"/>
      <c r="J137"/>
      <c r="K137"/>
      <c r="L137"/>
      <c r="M137"/>
      <c r="N137"/>
      <c r="O137"/>
      <c r="P137"/>
      <c r="Q137"/>
      <c r="R137"/>
    </row>
    <row r="138" spans="1:18" ht="14.4" x14ac:dyDescent="0.3">
      <c r="A138"/>
      <c r="B138"/>
      <c r="C138"/>
      <c r="D138"/>
      <c r="E138"/>
      <c r="F138"/>
      <c r="G138"/>
      <c r="H138"/>
      <c r="I138"/>
      <c r="J138"/>
      <c r="K138"/>
      <c r="L138"/>
      <c r="M138"/>
      <c r="N138"/>
      <c r="O138"/>
      <c r="P138"/>
      <c r="Q138"/>
      <c r="R138"/>
    </row>
    <row r="139" spans="1:18" ht="14.4" x14ac:dyDescent="0.3">
      <c r="A139"/>
      <c r="B139"/>
      <c r="C139"/>
      <c r="D139"/>
      <c r="E139"/>
      <c r="F139"/>
      <c r="G139"/>
      <c r="H139"/>
      <c r="I139"/>
      <c r="J139"/>
      <c r="K139"/>
      <c r="L139"/>
      <c r="M139"/>
      <c r="N139"/>
      <c r="O139"/>
      <c r="P139"/>
      <c r="Q139"/>
      <c r="R139"/>
    </row>
    <row r="140" spans="1:18" ht="14.4" x14ac:dyDescent="0.3">
      <c r="A140"/>
      <c r="B140"/>
      <c r="C140"/>
      <c r="D140"/>
      <c r="E140"/>
      <c r="F140"/>
      <c r="G140"/>
      <c r="H140"/>
      <c r="I140"/>
      <c r="J140"/>
      <c r="K140"/>
      <c r="L140"/>
      <c r="M140"/>
      <c r="N140"/>
      <c r="O140"/>
      <c r="P140"/>
      <c r="Q140"/>
      <c r="R140"/>
    </row>
    <row r="141" spans="1:18" ht="14.4" x14ac:dyDescent="0.3">
      <c r="A141"/>
      <c r="B141"/>
      <c r="C141"/>
      <c r="D141"/>
      <c r="E141"/>
      <c r="F141"/>
      <c r="G141"/>
      <c r="H141"/>
      <c r="I141"/>
      <c r="J141"/>
      <c r="K141"/>
      <c r="L141"/>
      <c r="M141"/>
      <c r="N141"/>
      <c r="O141"/>
      <c r="P141"/>
      <c r="Q141"/>
      <c r="R141"/>
    </row>
    <row r="142" spans="1:18" ht="14.4" x14ac:dyDescent="0.3">
      <c r="A142"/>
      <c r="B142"/>
      <c r="C142"/>
      <c r="D142"/>
      <c r="E142"/>
      <c r="F142"/>
      <c r="G142"/>
      <c r="H142"/>
      <c r="I142"/>
      <c r="J142"/>
      <c r="K142"/>
      <c r="L142"/>
      <c r="M142"/>
      <c r="N142"/>
      <c r="O142"/>
      <c r="P142"/>
      <c r="Q142"/>
      <c r="R142"/>
    </row>
    <row r="143" spans="1:18" ht="14.4" x14ac:dyDescent="0.3">
      <c r="A143"/>
      <c r="B143"/>
      <c r="C143"/>
      <c r="D143"/>
      <c r="E143"/>
      <c r="F143"/>
      <c r="G143"/>
      <c r="H143"/>
      <c r="I143"/>
      <c r="J143"/>
      <c r="K143"/>
      <c r="L143"/>
      <c r="M143"/>
      <c r="N143"/>
      <c r="O143"/>
      <c r="P143"/>
      <c r="Q143"/>
      <c r="R143"/>
    </row>
    <row r="144" spans="1:18" ht="14.4" x14ac:dyDescent="0.3">
      <c r="A144"/>
      <c r="B144"/>
      <c r="C144"/>
      <c r="D144"/>
      <c r="E144"/>
      <c r="F144"/>
      <c r="G144"/>
      <c r="H144"/>
      <c r="I144"/>
      <c r="J144"/>
      <c r="K144"/>
      <c r="L144"/>
      <c r="M144"/>
      <c r="N144"/>
      <c r="O144"/>
      <c r="P144"/>
      <c r="Q144"/>
      <c r="R144"/>
    </row>
    <row r="145" spans="1:18" ht="14.4" x14ac:dyDescent="0.3">
      <c r="A145"/>
      <c r="B145"/>
      <c r="C145"/>
      <c r="D145"/>
      <c r="E145"/>
      <c r="F145"/>
      <c r="G145"/>
      <c r="H145"/>
      <c r="I145"/>
      <c r="J145"/>
      <c r="K145"/>
      <c r="L145"/>
      <c r="M145"/>
      <c r="N145"/>
      <c r="O145"/>
      <c r="P145"/>
      <c r="Q145"/>
      <c r="R145"/>
    </row>
    <row r="146" spans="1:18" ht="14.4" x14ac:dyDescent="0.3">
      <c r="A146"/>
      <c r="B146"/>
      <c r="C146"/>
      <c r="D146"/>
      <c r="E146"/>
      <c r="F146"/>
      <c r="G146"/>
      <c r="H146"/>
      <c r="I146"/>
      <c r="J146"/>
      <c r="K146"/>
      <c r="L146"/>
      <c r="M146"/>
      <c r="N146"/>
      <c r="O146"/>
      <c r="P146"/>
      <c r="Q146"/>
      <c r="R146"/>
    </row>
    <row r="147" spans="1:18" ht="14.4" x14ac:dyDescent="0.3">
      <c r="A147"/>
      <c r="B147"/>
      <c r="C147"/>
      <c r="D147"/>
      <c r="E147"/>
      <c r="F147"/>
      <c r="G147"/>
      <c r="H147"/>
      <c r="I147"/>
      <c r="J147"/>
      <c r="K147"/>
      <c r="L147"/>
      <c r="M147"/>
      <c r="N147"/>
      <c r="O147"/>
      <c r="P147"/>
      <c r="Q147"/>
      <c r="R147"/>
    </row>
    <row r="148" spans="1:18" ht="14.4" x14ac:dyDescent="0.3">
      <c r="A148"/>
      <c r="B148"/>
      <c r="C148"/>
      <c r="D148"/>
      <c r="E148"/>
      <c r="F148"/>
      <c r="G148"/>
      <c r="H148"/>
      <c r="I148"/>
      <c r="J148"/>
      <c r="K148"/>
      <c r="L148"/>
      <c r="M148"/>
      <c r="N148"/>
      <c r="O148"/>
      <c r="P148"/>
      <c r="Q148"/>
      <c r="R148"/>
    </row>
    <row r="149" spans="1:18" ht="14.4" x14ac:dyDescent="0.3">
      <c r="A149"/>
      <c r="B149"/>
      <c r="C149"/>
      <c r="D149"/>
      <c r="E149"/>
      <c r="F149"/>
      <c r="G149"/>
      <c r="H149"/>
      <c r="I149"/>
      <c r="J149"/>
      <c r="K149"/>
      <c r="L149"/>
      <c r="M149"/>
      <c r="N149"/>
      <c r="O149"/>
      <c r="P149"/>
      <c r="Q149"/>
      <c r="R149"/>
    </row>
    <row r="150" spans="1:18" ht="14.4" x14ac:dyDescent="0.3">
      <c r="A150"/>
      <c r="B150"/>
      <c r="C150"/>
      <c r="D150"/>
      <c r="E150"/>
      <c r="F150"/>
      <c r="G150"/>
      <c r="H150"/>
      <c r="I150"/>
      <c r="J150"/>
      <c r="K150"/>
      <c r="L150"/>
      <c r="M150"/>
      <c r="N150"/>
      <c r="O150"/>
      <c r="P150"/>
      <c r="Q150"/>
      <c r="R150"/>
    </row>
    <row r="151" spans="1:18" ht="14.4" x14ac:dyDescent="0.3">
      <c r="A151"/>
      <c r="B151"/>
      <c r="C151"/>
      <c r="D151"/>
      <c r="E151"/>
      <c r="F151"/>
      <c r="G151"/>
      <c r="H151"/>
      <c r="I151"/>
      <c r="J151"/>
      <c r="K151"/>
      <c r="L151"/>
      <c r="M151"/>
      <c r="N151"/>
      <c r="O151"/>
      <c r="P151"/>
      <c r="Q151"/>
      <c r="R151"/>
    </row>
    <row r="152" spans="1:18" ht="14.4" x14ac:dyDescent="0.3">
      <c r="A152"/>
      <c r="B152"/>
      <c r="C152"/>
      <c r="D152"/>
      <c r="E152"/>
      <c r="F152"/>
      <c r="G152"/>
      <c r="H152"/>
      <c r="I152"/>
      <c r="J152"/>
      <c r="K152"/>
      <c r="L152"/>
      <c r="M152"/>
      <c r="N152"/>
      <c r="O152"/>
      <c r="P152"/>
      <c r="Q152"/>
      <c r="R152"/>
    </row>
    <row r="153" spans="1:18" ht="14.4" x14ac:dyDescent="0.3">
      <c r="A153"/>
      <c r="B153"/>
      <c r="C153"/>
      <c r="D153"/>
      <c r="E153"/>
      <c r="F153"/>
      <c r="G153"/>
      <c r="H153"/>
      <c r="I153"/>
      <c r="J153"/>
      <c r="K153"/>
      <c r="L153"/>
      <c r="M153"/>
      <c r="N153"/>
      <c r="O153"/>
      <c r="P153"/>
      <c r="Q153"/>
      <c r="R153"/>
    </row>
    <row r="154" spans="1:18" ht="14.4" x14ac:dyDescent="0.3">
      <c r="A154"/>
      <c r="B154"/>
    </row>
    <row r="155" spans="1:18" ht="14.4" x14ac:dyDescent="0.3">
      <c r="A155"/>
      <c r="B155"/>
    </row>
    <row r="156" spans="1:18" ht="14.4" x14ac:dyDescent="0.3">
      <c r="A156"/>
      <c r="B156"/>
    </row>
    <row r="157" spans="1:18" ht="14.4" x14ac:dyDescent="0.3">
      <c r="A157"/>
      <c r="B157"/>
    </row>
    <row r="158" spans="1:18" ht="14.4" x14ac:dyDescent="0.3">
      <c r="A158"/>
      <c r="B158"/>
    </row>
    <row r="159" spans="1:18" ht="14.4" x14ac:dyDescent="0.3">
      <c r="A159"/>
      <c r="B159"/>
    </row>
    <row r="160" spans="1:18" ht="14.4" x14ac:dyDescent="0.3">
      <c r="A160"/>
      <c r="B160"/>
    </row>
    <row r="161" spans="1:2" ht="14.4" x14ac:dyDescent="0.3">
      <c r="A161"/>
      <c r="B161"/>
    </row>
    <row r="162" spans="1:2" ht="14.4" x14ac:dyDescent="0.3">
      <c r="A162"/>
      <c r="B162"/>
    </row>
    <row r="163" spans="1:2" ht="14.4" x14ac:dyDescent="0.3">
      <c r="A163"/>
      <c r="B163"/>
    </row>
    <row r="164" spans="1:2" ht="14.4" x14ac:dyDescent="0.3">
      <c r="A164"/>
      <c r="B164"/>
    </row>
    <row r="165" spans="1:2" ht="14.4" x14ac:dyDescent="0.3">
      <c r="A165"/>
      <c r="B165"/>
    </row>
    <row r="166" spans="1:2" ht="14.4" x14ac:dyDescent="0.3">
      <c r="A166"/>
      <c r="B166"/>
    </row>
    <row r="167" spans="1:2" ht="14.4" x14ac:dyDescent="0.3">
      <c r="A167"/>
      <c r="B167"/>
    </row>
    <row r="168" spans="1:2" ht="14.4" x14ac:dyDescent="0.3">
      <c r="A168"/>
      <c r="B168"/>
    </row>
    <row r="169" spans="1:2" ht="14.4" x14ac:dyDescent="0.3">
      <c r="A169"/>
      <c r="B169"/>
    </row>
    <row r="170" spans="1:2" ht="14.4" x14ac:dyDescent="0.3">
      <c r="A170"/>
      <c r="B170"/>
    </row>
    <row r="171" spans="1:2" ht="14.4" x14ac:dyDescent="0.3">
      <c r="A171"/>
      <c r="B171"/>
    </row>
    <row r="172" spans="1:2" ht="14.4" x14ac:dyDescent="0.3">
      <c r="A172"/>
      <c r="B172"/>
    </row>
    <row r="173" spans="1:2" ht="14.4" x14ac:dyDescent="0.3">
      <c r="A173"/>
      <c r="B173"/>
    </row>
    <row r="174" spans="1:2" ht="14.4" x14ac:dyDescent="0.3">
      <c r="A174"/>
      <c r="B174"/>
    </row>
    <row r="175" spans="1:2" ht="14.4" x14ac:dyDescent="0.3">
      <c r="A175"/>
      <c r="B175"/>
    </row>
    <row r="176" spans="1:2" ht="14.4" x14ac:dyDescent="0.3">
      <c r="A176"/>
      <c r="B176"/>
    </row>
    <row r="177" spans="1:2" ht="14.4" x14ac:dyDescent="0.3">
      <c r="A177"/>
      <c r="B177"/>
    </row>
    <row r="178" spans="1:2" ht="14.4" x14ac:dyDescent="0.3">
      <c r="A178"/>
      <c r="B178"/>
    </row>
    <row r="179" spans="1:2" ht="14.4" x14ac:dyDescent="0.3">
      <c r="A179"/>
      <c r="B179"/>
    </row>
    <row r="180" spans="1:2" ht="14.4" x14ac:dyDescent="0.3">
      <c r="A180"/>
      <c r="B180"/>
    </row>
    <row r="181" spans="1:2" ht="14.4" x14ac:dyDescent="0.3">
      <c r="A181"/>
      <c r="B181"/>
    </row>
    <row r="182" spans="1:2" ht="14.4" x14ac:dyDescent="0.3">
      <c r="A182"/>
      <c r="B182"/>
    </row>
    <row r="183" spans="1:2" ht="14.4" x14ac:dyDescent="0.3">
      <c r="A183"/>
      <c r="B183"/>
    </row>
    <row r="184" spans="1:2" ht="14.4" x14ac:dyDescent="0.3">
      <c r="A184"/>
      <c r="B184"/>
    </row>
    <row r="185" spans="1:2" ht="14.4" x14ac:dyDescent="0.3">
      <c r="A185"/>
      <c r="B185"/>
    </row>
    <row r="186" spans="1:2" ht="14.4" x14ac:dyDescent="0.3">
      <c r="A186"/>
      <c r="B186"/>
    </row>
    <row r="187" spans="1:2" ht="14.4" x14ac:dyDescent="0.3">
      <c r="A187"/>
      <c r="B187"/>
    </row>
    <row r="188" spans="1:2" ht="14.4" x14ac:dyDescent="0.3">
      <c r="A188"/>
      <c r="B188"/>
    </row>
    <row r="189" spans="1:2" ht="14.4" x14ac:dyDescent="0.3">
      <c r="A189"/>
      <c r="B189"/>
    </row>
    <row r="190" spans="1:2" ht="14.4" x14ac:dyDescent="0.3">
      <c r="A190"/>
      <c r="B190"/>
    </row>
    <row r="191" spans="1:2" ht="14.4" x14ac:dyDescent="0.3">
      <c r="A191"/>
      <c r="B191"/>
    </row>
    <row r="192" spans="1:2" ht="14.4" x14ac:dyDescent="0.3">
      <c r="A192"/>
      <c r="B192"/>
    </row>
    <row r="193" spans="1:2" ht="14.4" x14ac:dyDescent="0.3">
      <c r="A193"/>
      <c r="B193"/>
    </row>
    <row r="194" spans="1:2" ht="14.4" x14ac:dyDescent="0.3">
      <c r="A194"/>
      <c r="B194"/>
    </row>
    <row r="195" spans="1:2" ht="14.4" x14ac:dyDescent="0.3">
      <c r="A195"/>
      <c r="B195"/>
    </row>
    <row r="196" spans="1:2" ht="14.4" x14ac:dyDescent="0.3">
      <c r="A196"/>
      <c r="B196"/>
    </row>
    <row r="197" spans="1:2" ht="14.4" x14ac:dyDescent="0.3">
      <c r="A197"/>
      <c r="B197"/>
    </row>
    <row r="198" spans="1:2" ht="14.4" x14ac:dyDescent="0.3">
      <c r="A198"/>
      <c r="B198"/>
    </row>
    <row r="199" spans="1:2" ht="14.4" x14ac:dyDescent="0.3">
      <c r="A199"/>
      <c r="B199"/>
    </row>
    <row r="200" spans="1:2" ht="14.4" x14ac:dyDescent="0.3">
      <c r="A200"/>
      <c r="B200"/>
    </row>
    <row r="201" spans="1:2" ht="14.4" x14ac:dyDescent="0.3">
      <c r="A201"/>
      <c r="B201"/>
    </row>
    <row r="202" spans="1:2" ht="14.4" x14ac:dyDescent="0.3">
      <c r="A202"/>
      <c r="B202"/>
    </row>
    <row r="203" spans="1:2" ht="14.4" x14ac:dyDescent="0.3">
      <c r="A203"/>
      <c r="B203"/>
    </row>
    <row r="204" spans="1:2" ht="14.4" x14ac:dyDescent="0.3">
      <c r="A204"/>
      <c r="B204"/>
    </row>
    <row r="205" spans="1:2" ht="14.4" x14ac:dyDescent="0.3">
      <c r="A205"/>
      <c r="B205"/>
    </row>
    <row r="206" spans="1:2" ht="14.4" x14ac:dyDescent="0.3">
      <c r="A206"/>
      <c r="B206"/>
    </row>
    <row r="207" spans="1:2" ht="14.4" x14ac:dyDescent="0.3">
      <c r="A207"/>
      <c r="B207"/>
    </row>
    <row r="208" spans="1:2" ht="14.4" x14ac:dyDescent="0.3">
      <c r="A208"/>
      <c r="B208"/>
    </row>
    <row r="209" spans="1:2" ht="14.4" x14ac:dyDescent="0.3">
      <c r="A209"/>
      <c r="B209"/>
    </row>
    <row r="210" spans="1:2" ht="14.4" x14ac:dyDescent="0.3">
      <c r="A210"/>
      <c r="B210"/>
    </row>
    <row r="211" spans="1:2" ht="14.4" x14ac:dyDescent="0.3">
      <c r="A211"/>
      <c r="B211"/>
    </row>
    <row r="212" spans="1:2" ht="14.4" x14ac:dyDescent="0.3">
      <c r="A212"/>
      <c r="B212"/>
    </row>
    <row r="213" spans="1:2" ht="14.4" x14ac:dyDescent="0.3">
      <c r="A213"/>
      <c r="B213"/>
    </row>
    <row r="214" spans="1:2" ht="14.4" x14ac:dyDescent="0.3">
      <c r="A214"/>
      <c r="B214"/>
    </row>
    <row r="215" spans="1:2" ht="14.4" x14ac:dyDescent="0.3">
      <c r="A215"/>
      <c r="B215"/>
    </row>
    <row r="216" spans="1:2" ht="14.4" x14ac:dyDescent="0.3">
      <c r="A216"/>
      <c r="B216"/>
    </row>
    <row r="217" spans="1:2" ht="14.4" x14ac:dyDescent="0.3">
      <c r="A217"/>
      <c r="B217"/>
    </row>
    <row r="218" spans="1:2" ht="14.4" x14ac:dyDescent="0.3">
      <c r="A218"/>
      <c r="B218"/>
    </row>
    <row r="219" spans="1:2" ht="14.4" x14ac:dyDescent="0.3">
      <c r="A219"/>
      <c r="B219"/>
    </row>
    <row r="220" spans="1:2" ht="14.4" x14ac:dyDescent="0.3">
      <c r="A220"/>
      <c r="B220"/>
    </row>
    <row r="221" spans="1:2" ht="14.4" x14ac:dyDescent="0.3">
      <c r="A221"/>
      <c r="B221"/>
    </row>
    <row r="222" spans="1:2" ht="14.4" x14ac:dyDescent="0.3">
      <c r="A222"/>
      <c r="B222"/>
    </row>
    <row r="223" spans="1:2" ht="14.4" x14ac:dyDescent="0.3">
      <c r="A223"/>
      <c r="B223"/>
    </row>
    <row r="224" spans="1:2" ht="14.4" x14ac:dyDescent="0.3">
      <c r="A224"/>
      <c r="B224"/>
    </row>
    <row r="225" spans="1:2" ht="14.4" x14ac:dyDescent="0.3">
      <c r="A225"/>
      <c r="B225"/>
    </row>
    <row r="226" spans="1:2" ht="14.4" x14ac:dyDescent="0.3">
      <c r="A226"/>
      <c r="B226"/>
    </row>
    <row r="227" spans="1:2" ht="14.4" x14ac:dyDescent="0.3">
      <c r="A227"/>
      <c r="B227"/>
    </row>
    <row r="228" spans="1:2" ht="14.4" x14ac:dyDescent="0.3">
      <c r="A228"/>
      <c r="B228"/>
    </row>
    <row r="229" spans="1:2" ht="14.4" x14ac:dyDescent="0.3">
      <c r="A229"/>
      <c r="B229"/>
    </row>
    <row r="230" spans="1:2" ht="14.4" x14ac:dyDescent="0.3">
      <c r="A230"/>
      <c r="B230"/>
    </row>
    <row r="231" spans="1:2" ht="14.4" x14ac:dyDescent="0.3">
      <c r="A231"/>
      <c r="B231"/>
    </row>
    <row r="232" spans="1:2" ht="14.4" x14ac:dyDescent="0.3">
      <c r="A232"/>
      <c r="B232"/>
    </row>
    <row r="233" spans="1:2" ht="14.4" x14ac:dyDescent="0.3">
      <c r="A233"/>
      <c r="B233"/>
    </row>
    <row r="234" spans="1:2" ht="14.4" x14ac:dyDescent="0.3">
      <c r="A234"/>
      <c r="B234"/>
    </row>
    <row r="235" spans="1:2" ht="14.4" x14ac:dyDescent="0.3">
      <c r="A235"/>
      <c r="B235"/>
    </row>
    <row r="236" spans="1:2" ht="14.4" x14ac:dyDescent="0.3">
      <c r="A236"/>
      <c r="B236"/>
    </row>
    <row r="237" spans="1:2" ht="14.4" x14ac:dyDescent="0.3">
      <c r="A237"/>
      <c r="B237"/>
    </row>
    <row r="238" spans="1:2" ht="14.4" x14ac:dyDescent="0.3">
      <c r="A238"/>
      <c r="B238"/>
    </row>
    <row r="239" spans="1:2" ht="14.4" x14ac:dyDescent="0.3">
      <c r="A239"/>
      <c r="B239"/>
    </row>
    <row r="240" spans="1:2" ht="14.4" x14ac:dyDescent="0.3">
      <c r="A240"/>
      <c r="B240"/>
    </row>
    <row r="241" spans="1:2" ht="14.4" x14ac:dyDescent="0.3">
      <c r="A241"/>
      <c r="B241"/>
    </row>
    <row r="242" spans="1:2" ht="14.4" x14ac:dyDescent="0.3">
      <c r="A242"/>
      <c r="B242"/>
    </row>
    <row r="243" spans="1:2" ht="14.4" x14ac:dyDescent="0.3">
      <c r="A243"/>
      <c r="B243"/>
    </row>
    <row r="244" spans="1:2" ht="14.4" x14ac:dyDescent="0.3">
      <c r="A244"/>
      <c r="B244"/>
    </row>
    <row r="245" spans="1:2" ht="14.4" x14ac:dyDescent="0.3">
      <c r="A245"/>
      <c r="B245"/>
    </row>
    <row r="246" spans="1:2" ht="14.4" x14ac:dyDescent="0.3">
      <c r="A246"/>
      <c r="B246"/>
    </row>
    <row r="247" spans="1:2" ht="14.4" x14ac:dyDescent="0.3">
      <c r="A247"/>
      <c r="B247"/>
    </row>
    <row r="248" spans="1:2" ht="14.4" x14ac:dyDescent="0.3">
      <c r="A248"/>
      <c r="B248"/>
    </row>
    <row r="249" spans="1:2" ht="14.4" x14ac:dyDescent="0.3">
      <c r="A249"/>
      <c r="B249"/>
    </row>
    <row r="250" spans="1:2" ht="14.4" x14ac:dyDescent="0.3">
      <c r="A250"/>
      <c r="B250"/>
    </row>
    <row r="251" spans="1:2" ht="14.4" x14ac:dyDescent="0.3">
      <c r="A251"/>
      <c r="B251"/>
    </row>
    <row r="252" spans="1:2" ht="14.4" x14ac:dyDescent="0.3">
      <c r="A252"/>
      <c r="B252"/>
    </row>
    <row r="253" spans="1:2" ht="14.4" x14ac:dyDescent="0.3">
      <c r="A253"/>
      <c r="B253"/>
    </row>
    <row r="254" spans="1:2" ht="14.4" x14ac:dyDescent="0.3">
      <c r="A254"/>
      <c r="B254"/>
    </row>
    <row r="255" spans="1:2" ht="14.4" x14ac:dyDescent="0.3">
      <c r="A255"/>
      <c r="B255"/>
    </row>
    <row r="256" spans="1:2" ht="14.4" x14ac:dyDescent="0.3">
      <c r="A256"/>
      <c r="B256"/>
    </row>
    <row r="257" spans="1:2" ht="14.4" x14ac:dyDescent="0.3">
      <c r="A257"/>
      <c r="B257"/>
    </row>
    <row r="258" spans="1:2" ht="14.4" x14ac:dyDescent="0.3">
      <c r="A258"/>
      <c r="B258"/>
    </row>
    <row r="259" spans="1:2" ht="14.4" x14ac:dyDescent="0.3">
      <c r="A259"/>
      <c r="B259"/>
    </row>
    <row r="260" spans="1:2" ht="14.4" x14ac:dyDescent="0.3">
      <c r="A260"/>
      <c r="B260"/>
    </row>
    <row r="261" spans="1:2" ht="14.4" x14ac:dyDescent="0.3">
      <c r="A261"/>
      <c r="B261"/>
    </row>
    <row r="262" spans="1:2" ht="14.4" x14ac:dyDescent="0.3">
      <c r="A262"/>
      <c r="B262"/>
    </row>
    <row r="263" spans="1:2" ht="14.4" x14ac:dyDescent="0.3">
      <c r="A263"/>
      <c r="B263"/>
    </row>
    <row r="264" spans="1:2" ht="14.4" x14ac:dyDescent="0.3">
      <c r="A264"/>
      <c r="B264"/>
    </row>
    <row r="265" spans="1:2" ht="14.4" x14ac:dyDescent="0.3">
      <c r="A265"/>
      <c r="B265"/>
    </row>
    <row r="266" spans="1:2" ht="14.4" x14ac:dyDescent="0.3">
      <c r="A266"/>
      <c r="B266"/>
    </row>
    <row r="267" spans="1:2" ht="14.4" x14ac:dyDescent="0.3">
      <c r="A267"/>
      <c r="B267"/>
    </row>
    <row r="268" spans="1:2" ht="14.4" x14ac:dyDescent="0.3">
      <c r="A268"/>
      <c r="B268"/>
    </row>
    <row r="269" spans="1:2" ht="14.4" x14ac:dyDescent="0.3">
      <c r="A269"/>
      <c r="B269"/>
    </row>
    <row r="270" spans="1:2" ht="14.4" x14ac:dyDescent="0.3">
      <c r="A270"/>
      <c r="B270"/>
    </row>
    <row r="271" spans="1:2" ht="14.4" x14ac:dyDescent="0.3">
      <c r="A271"/>
      <c r="B271"/>
    </row>
    <row r="272" spans="1:2" ht="14.4" x14ac:dyDescent="0.3">
      <c r="A272"/>
      <c r="B272"/>
    </row>
    <row r="273" spans="1:2" ht="14.4" x14ac:dyDescent="0.3">
      <c r="A273"/>
      <c r="B273"/>
    </row>
    <row r="274" spans="1:2" ht="14.4" x14ac:dyDescent="0.3">
      <c r="A274"/>
      <c r="B274"/>
    </row>
    <row r="275" spans="1:2" ht="14.4" x14ac:dyDescent="0.3">
      <c r="A275"/>
      <c r="B275"/>
    </row>
    <row r="276" spans="1:2" ht="14.4" x14ac:dyDescent="0.3">
      <c r="A276"/>
      <c r="B276"/>
    </row>
    <row r="277" spans="1:2" ht="14.4" x14ac:dyDescent="0.3">
      <c r="A277"/>
      <c r="B277"/>
    </row>
    <row r="278" spans="1:2" ht="14.4" x14ac:dyDescent="0.3">
      <c r="A278"/>
      <c r="B278"/>
    </row>
    <row r="279" spans="1:2" ht="14.4" x14ac:dyDescent="0.3">
      <c r="A279"/>
      <c r="B279"/>
    </row>
    <row r="280" spans="1:2" ht="14.4" x14ac:dyDescent="0.3">
      <c r="A280"/>
      <c r="B280"/>
    </row>
    <row r="281" spans="1:2" ht="14.4" x14ac:dyDescent="0.3">
      <c r="A281"/>
      <c r="B281"/>
    </row>
    <row r="282" spans="1:2" ht="14.4" x14ac:dyDescent="0.3">
      <c r="A282"/>
      <c r="B282"/>
    </row>
    <row r="283" spans="1:2" ht="14.4" x14ac:dyDescent="0.3">
      <c r="A283"/>
      <c r="B283"/>
    </row>
    <row r="284" spans="1:2" ht="14.4" x14ac:dyDescent="0.3">
      <c r="A284"/>
      <c r="B284"/>
    </row>
    <row r="285" spans="1:2" ht="14.4" x14ac:dyDescent="0.3">
      <c r="A285"/>
      <c r="B285"/>
    </row>
    <row r="286" spans="1:2" ht="14.4" x14ac:dyDescent="0.3">
      <c r="A286"/>
      <c r="B286"/>
    </row>
    <row r="287" spans="1:2" ht="14.4" x14ac:dyDescent="0.3">
      <c r="A287"/>
      <c r="B287"/>
    </row>
    <row r="288" spans="1:2" ht="14.4" x14ac:dyDescent="0.3">
      <c r="A288"/>
      <c r="B288"/>
    </row>
    <row r="289" spans="1:2" ht="14.4" x14ac:dyDescent="0.3">
      <c r="A289"/>
      <c r="B289"/>
    </row>
    <row r="290" spans="1:2" ht="14.4" x14ac:dyDescent="0.3">
      <c r="A290"/>
      <c r="B290"/>
    </row>
    <row r="291" spans="1:2" ht="14.4" x14ac:dyDescent="0.3">
      <c r="A291"/>
      <c r="B291"/>
    </row>
    <row r="292" spans="1:2" ht="14.4" x14ac:dyDescent="0.3">
      <c r="A292"/>
      <c r="B292"/>
    </row>
    <row r="293" spans="1:2" ht="14.4" x14ac:dyDescent="0.3">
      <c r="A293"/>
      <c r="B293"/>
    </row>
    <row r="294" spans="1:2" ht="14.4" x14ac:dyDescent="0.3">
      <c r="A294"/>
      <c r="B294"/>
    </row>
    <row r="295" spans="1:2" ht="14.4" x14ac:dyDescent="0.3">
      <c r="A295"/>
      <c r="B295"/>
    </row>
    <row r="296" spans="1:2" ht="14.4" x14ac:dyDescent="0.3">
      <c r="A296"/>
      <c r="B296"/>
    </row>
    <row r="297" spans="1:2" ht="14.4" x14ac:dyDescent="0.3">
      <c r="A297"/>
      <c r="B297"/>
    </row>
    <row r="298" spans="1:2" ht="14.4" x14ac:dyDescent="0.3">
      <c r="A298"/>
      <c r="B298"/>
    </row>
    <row r="299" spans="1:2" ht="14.4" x14ac:dyDescent="0.3">
      <c r="A299"/>
      <c r="B299"/>
    </row>
    <row r="300" spans="1:2" ht="14.4" x14ac:dyDescent="0.3">
      <c r="A300"/>
      <c r="B300"/>
    </row>
    <row r="301" spans="1:2" ht="14.4" x14ac:dyDescent="0.3">
      <c r="A301"/>
      <c r="B301"/>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506E9-DED4-4E9F-93D0-D09913D2574B}">
  <dimension ref="B1:G152"/>
  <sheetViews>
    <sheetView topLeftCell="A119" zoomScale="85" zoomScaleNormal="85" workbookViewId="0">
      <selection activeCell="B2" sqref="B2:G152"/>
    </sheetView>
  </sheetViews>
  <sheetFormatPr defaultColWidth="8.77734375" defaultRowHeight="13.8" x14ac:dyDescent="0.25"/>
  <cols>
    <col min="1" max="1" width="3.77734375" style="1" customWidth="1"/>
    <col min="2" max="2" width="46.77734375" style="13" bestFit="1" customWidth="1"/>
    <col min="3" max="3" width="32.109375" style="1" bestFit="1" customWidth="1"/>
    <col min="4" max="4" width="15.5546875" style="14" bestFit="1" customWidth="1"/>
    <col min="5" max="5" width="34.6640625" style="14" bestFit="1" customWidth="1"/>
    <col min="6" max="6" width="24.5546875" style="14" customWidth="1"/>
    <col min="7" max="7" width="26" style="14" bestFit="1" customWidth="1"/>
    <col min="8" max="8" width="24.77734375" style="1" customWidth="1"/>
    <col min="9" max="9" width="28.77734375" style="1" bestFit="1" customWidth="1"/>
    <col min="10" max="10" width="35.77734375" style="1" bestFit="1" customWidth="1"/>
    <col min="11" max="11" width="26.44140625" style="1" bestFit="1" customWidth="1"/>
    <col min="12" max="12" width="35.77734375" style="1" bestFit="1" customWidth="1"/>
    <col min="13" max="13" width="26.44140625" style="1" bestFit="1" customWidth="1"/>
    <col min="14" max="14" width="35.77734375" style="1" bestFit="1" customWidth="1"/>
    <col min="15" max="15" width="26.44140625" style="1" bestFit="1" customWidth="1"/>
    <col min="16" max="16" width="35.77734375" style="1" bestFit="1" customWidth="1"/>
    <col min="17" max="17" width="26.44140625" style="1" bestFit="1" customWidth="1"/>
    <col min="18" max="18" width="35.77734375" style="1" bestFit="1" customWidth="1"/>
    <col min="19" max="19" width="26.44140625" style="1" bestFit="1" customWidth="1"/>
    <col min="20" max="20" width="35.77734375" style="1" bestFit="1" customWidth="1"/>
    <col min="21" max="21" width="26.44140625" style="1" bestFit="1" customWidth="1"/>
    <col min="22" max="22" width="35.77734375" style="1" bestFit="1" customWidth="1"/>
    <col min="23" max="23" width="29" style="1" bestFit="1" customWidth="1"/>
    <col min="24" max="24" width="35.77734375" style="1" bestFit="1" customWidth="1"/>
    <col min="25" max="25" width="26.44140625" style="1" bestFit="1" customWidth="1"/>
    <col min="26" max="26" width="35.77734375" style="1" bestFit="1" customWidth="1"/>
    <col min="27" max="27" width="26.44140625" style="1" bestFit="1" customWidth="1"/>
    <col min="28" max="28" width="35.77734375" style="1" bestFit="1" customWidth="1"/>
    <col min="29" max="29" width="26.44140625" style="1" bestFit="1" customWidth="1"/>
    <col min="30" max="30" width="35.77734375" style="1" bestFit="1" customWidth="1"/>
    <col min="31" max="31" width="26.44140625" style="1" bestFit="1" customWidth="1"/>
    <col min="32" max="32" width="35.77734375" style="1" bestFit="1" customWidth="1"/>
    <col min="33" max="33" width="26.44140625" style="1" bestFit="1" customWidth="1"/>
    <col min="34" max="34" width="35.77734375" style="1" bestFit="1" customWidth="1"/>
    <col min="35" max="35" width="26.44140625" style="1" bestFit="1" customWidth="1"/>
    <col min="36" max="36" width="35.77734375" style="1" bestFit="1" customWidth="1"/>
    <col min="37" max="37" width="26.44140625" style="1" bestFit="1" customWidth="1"/>
    <col min="38" max="38" width="35.77734375" style="1" bestFit="1" customWidth="1"/>
    <col min="39" max="39" width="26.44140625" style="1" bestFit="1" customWidth="1"/>
    <col min="40" max="40" width="35.77734375" style="1" bestFit="1" customWidth="1"/>
    <col min="41" max="41" width="31.44140625" style="1" bestFit="1" customWidth="1"/>
    <col min="42" max="42" width="40.77734375" style="1" bestFit="1" customWidth="1"/>
    <col min="43" max="16384" width="8.77734375" style="1"/>
  </cols>
  <sheetData>
    <row r="1" spans="2:7" ht="14.4" thickBot="1" x14ac:dyDescent="0.3"/>
    <row r="2" spans="2:7" ht="18" thickBot="1" x14ac:dyDescent="0.35">
      <c r="B2" s="48" t="s">
        <v>353</v>
      </c>
      <c r="C2" s="49"/>
      <c r="D2" s="49"/>
      <c r="E2" s="49"/>
      <c r="F2" s="49"/>
      <c r="G2" s="50"/>
    </row>
    <row r="3" spans="2:7" x14ac:dyDescent="0.25">
      <c r="B3" s="15" t="s">
        <v>318</v>
      </c>
      <c r="C3" s="16" t="s">
        <v>149</v>
      </c>
      <c r="D3" s="16" t="s">
        <v>167</v>
      </c>
      <c r="E3" s="16" t="s">
        <v>316</v>
      </c>
      <c r="F3" s="16" t="s">
        <v>317</v>
      </c>
      <c r="G3" s="17" t="s">
        <v>315</v>
      </c>
    </row>
    <row r="4" spans="2:7" x14ac:dyDescent="0.25">
      <c r="B4" s="2" t="s">
        <v>93</v>
      </c>
      <c r="C4" s="3" t="s">
        <v>151</v>
      </c>
      <c r="D4" s="4" t="s">
        <v>261</v>
      </c>
      <c r="E4" s="4">
        <v>1497</v>
      </c>
      <c r="F4" s="5">
        <v>92216</v>
      </c>
      <c r="G4" s="6" t="s">
        <v>328</v>
      </c>
    </row>
    <row r="5" spans="2:7" x14ac:dyDescent="0.25">
      <c r="B5" s="2" t="s">
        <v>45</v>
      </c>
      <c r="C5" s="3" t="s">
        <v>151</v>
      </c>
      <c r="D5" s="4" t="s">
        <v>213</v>
      </c>
      <c r="E5" s="4">
        <v>1479</v>
      </c>
      <c r="F5" s="5">
        <v>91107</v>
      </c>
      <c r="G5" s="6" t="s">
        <v>330</v>
      </c>
    </row>
    <row r="6" spans="2:7" x14ac:dyDescent="0.25">
      <c r="B6" s="2" t="s">
        <v>124</v>
      </c>
      <c r="C6" s="3" t="s">
        <v>155</v>
      </c>
      <c r="D6" s="4" t="s">
        <v>290</v>
      </c>
      <c r="E6" s="4">
        <v>1464</v>
      </c>
      <c r="F6" s="5">
        <v>90183</v>
      </c>
      <c r="G6" s="6" t="s">
        <v>340</v>
      </c>
    </row>
    <row r="7" spans="2:7" x14ac:dyDescent="0.25">
      <c r="B7" s="7" t="s">
        <v>103</v>
      </c>
      <c r="C7" s="3" t="s">
        <v>154</v>
      </c>
      <c r="D7" s="4" t="s">
        <v>270</v>
      </c>
      <c r="E7" s="4">
        <v>1458</v>
      </c>
      <c r="F7" s="5">
        <v>89813</v>
      </c>
      <c r="G7" s="6" t="s">
        <v>338</v>
      </c>
    </row>
    <row r="8" spans="2:7" x14ac:dyDescent="0.25">
      <c r="B8" s="2" t="s">
        <v>117</v>
      </c>
      <c r="C8" s="3" t="s">
        <v>151</v>
      </c>
      <c r="D8" s="4" t="s">
        <v>284</v>
      </c>
      <c r="E8" s="4">
        <v>1455</v>
      </c>
      <c r="F8" s="5">
        <v>89628</v>
      </c>
      <c r="G8" s="6" t="s">
        <v>347</v>
      </c>
    </row>
    <row r="9" spans="2:7" x14ac:dyDescent="0.25">
      <c r="B9" s="2" t="s">
        <v>112</v>
      </c>
      <c r="C9" s="3" t="s">
        <v>156</v>
      </c>
      <c r="D9" s="4" t="s">
        <v>279</v>
      </c>
      <c r="E9" s="4">
        <v>1455</v>
      </c>
      <c r="F9" s="5">
        <v>89628</v>
      </c>
      <c r="G9" s="6" t="s">
        <v>347</v>
      </c>
    </row>
    <row r="10" spans="2:7" x14ac:dyDescent="0.25">
      <c r="B10" s="2" t="s">
        <v>130</v>
      </c>
      <c r="C10" s="3" t="s">
        <v>151</v>
      </c>
      <c r="D10" s="4" t="s">
        <v>296</v>
      </c>
      <c r="E10" s="4">
        <v>1451</v>
      </c>
      <c r="F10" s="5">
        <v>89351</v>
      </c>
      <c r="G10" s="6" t="s">
        <v>331</v>
      </c>
    </row>
    <row r="11" spans="2:7" x14ac:dyDescent="0.25">
      <c r="B11" s="7" t="s">
        <v>96</v>
      </c>
      <c r="C11" s="3" t="s">
        <v>151</v>
      </c>
      <c r="D11" s="4" t="s">
        <v>264</v>
      </c>
      <c r="E11" s="4">
        <v>1445</v>
      </c>
      <c r="F11" s="5">
        <v>88982</v>
      </c>
      <c r="G11" s="6" t="s">
        <v>331</v>
      </c>
    </row>
    <row r="12" spans="2:7" x14ac:dyDescent="0.25">
      <c r="B12" s="2" t="s">
        <v>54</v>
      </c>
      <c r="C12" s="3" t="s">
        <v>164</v>
      </c>
      <c r="D12" s="4" t="s">
        <v>222</v>
      </c>
      <c r="E12" s="4">
        <v>1419</v>
      </c>
      <c r="F12" s="5">
        <v>87411</v>
      </c>
      <c r="G12" s="6" t="s">
        <v>323</v>
      </c>
    </row>
    <row r="13" spans="2:7" x14ac:dyDescent="0.25">
      <c r="B13" s="2" t="s">
        <v>72</v>
      </c>
      <c r="C13" s="3" t="s">
        <v>155</v>
      </c>
      <c r="D13" s="4" t="s">
        <v>240</v>
      </c>
      <c r="E13" s="4">
        <v>1418</v>
      </c>
      <c r="F13" s="5">
        <v>87318</v>
      </c>
      <c r="G13" s="6" t="s">
        <v>337</v>
      </c>
    </row>
    <row r="14" spans="2:7" x14ac:dyDescent="0.25">
      <c r="B14" s="7" t="s">
        <v>82</v>
      </c>
      <c r="C14" s="3" t="s">
        <v>155</v>
      </c>
      <c r="D14" s="4" t="s">
        <v>250</v>
      </c>
      <c r="E14" s="4">
        <v>1412</v>
      </c>
      <c r="F14" s="5">
        <v>86949</v>
      </c>
      <c r="G14" s="6" t="s">
        <v>338</v>
      </c>
    </row>
    <row r="15" spans="2:7" x14ac:dyDescent="0.25">
      <c r="B15" s="2" t="s">
        <v>44</v>
      </c>
      <c r="C15" s="3" t="s">
        <v>153</v>
      </c>
      <c r="D15" s="4" t="s">
        <v>212</v>
      </c>
      <c r="E15" s="4">
        <v>1412</v>
      </c>
      <c r="F15" s="5">
        <v>86949</v>
      </c>
      <c r="G15" s="6" t="s">
        <v>352</v>
      </c>
    </row>
    <row r="16" spans="2:7" x14ac:dyDescent="0.25">
      <c r="B16" s="2" t="s">
        <v>99</v>
      </c>
      <c r="C16" s="3" t="s">
        <v>151</v>
      </c>
      <c r="D16" s="4" t="s">
        <v>267</v>
      </c>
      <c r="E16" s="4">
        <v>1395</v>
      </c>
      <c r="F16" s="5">
        <v>85932</v>
      </c>
      <c r="G16" s="6" t="s">
        <v>334</v>
      </c>
    </row>
    <row r="17" spans="2:7" x14ac:dyDescent="0.25">
      <c r="B17" s="2" t="s">
        <v>100</v>
      </c>
      <c r="C17" s="3" t="s">
        <v>157</v>
      </c>
      <c r="D17" s="4" t="s">
        <v>270</v>
      </c>
      <c r="E17" s="4">
        <v>1394</v>
      </c>
      <c r="F17" s="5">
        <v>85840</v>
      </c>
      <c r="G17" s="6" t="s">
        <v>335</v>
      </c>
    </row>
    <row r="18" spans="2:7" x14ac:dyDescent="0.25">
      <c r="B18" s="2" t="s">
        <v>92</v>
      </c>
      <c r="C18" s="3" t="s">
        <v>162</v>
      </c>
      <c r="D18" s="4" t="s">
        <v>260</v>
      </c>
      <c r="E18" s="4">
        <v>1391</v>
      </c>
      <c r="F18" s="5">
        <v>85655</v>
      </c>
      <c r="G18" s="6" t="s">
        <v>327</v>
      </c>
    </row>
    <row r="19" spans="2:7" x14ac:dyDescent="0.25">
      <c r="B19" s="2" t="s">
        <v>55</v>
      </c>
      <c r="C19" s="3" t="s">
        <v>157</v>
      </c>
      <c r="D19" s="4" t="s">
        <v>223</v>
      </c>
      <c r="E19" s="4">
        <v>1388</v>
      </c>
      <c r="F19" s="5">
        <v>85470</v>
      </c>
      <c r="G19" s="6" t="s">
        <v>324</v>
      </c>
    </row>
    <row r="20" spans="2:7" x14ac:dyDescent="0.25">
      <c r="B20" s="2" t="s">
        <v>32</v>
      </c>
      <c r="C20" s="3" t="s">
        <v>157</v>
      </c>
      <c r="D20" s="4" t="s">
        <v>200</v>
      </c>
      <c r="E20" s="4">
        <v>1374</v>
      </c>
      <c r="F20" s="5">
        <v>84639</v>
      </c>
      <c r="G20" s="6" t="s">
        <v>351</v>
      </c>
    </row>
    <row r="21" spans="2:7" x14ac:dyDescent="0.25">
      <c r="B21" s="7" t="s">
        <v>142</v>
      </c>
      <c r="C21" s="3" t="s">
        <v>165</v>
      </c>
      <c r="D21" s="4" t="s">
        <v>308</v>
      </c>
      <c r="E21" s="4">
        <v>1368</v>
      </c>
      <c r="F21" s="5">
        <v>84269</v>
      </c>
      <c r="G21" s="6" t="s">
        <v>332</v>
      </c>
    </row>
    <row r="22" spans="2:7" x14ac:dyDescent="0.25">
      <c r="B22" s="7" t="s">
        <v>71</v>
      </c>
      <c r="C22" s="3" t="s">
        <v>157</v>
      </c>
      <c r="D22" s="4" t="s">
        <v>239</v>
      </c>
      <c r="E22" s="4">
        <v>1361</v>
      </c>
      <c r="F22" s="5">
        <v>83807</v>
      </c>
      <c r="G22" s="6" t="s">
        <v>336</v>
      </c>
    </row>
    <row r="23" spans="2:7" x14ac:dyDescent="0.25">
      <c r="B23" s="7" t="s">
        <v>122</v>
      </c>
      <c r="C23" s="3" t="s">
        <v>153</v>
      </c>
      <c r="D23" s="4" t="s">
        <v>270</v>
      </c>
      <c r="E23" s="4">
        <v>1361</v>
      </c>
      <c r="F23" s="5">
        <v>83807</v>
      </c>
      <c r="G23" s="6" t="s">
        <v>338</v>
      </c>
    </row>
    <row r="24" spans="2:7" x14ac:dyDescent="0.25">
      <c r="B24" s="2" t="s">
        <v>30</v>
      </c>
      <c r="C24" s="3" t="s">
        <v>151</v>
      </c>
      <c r="D24" s="4" t="s">
        <v>198</v>
      </c>
      <c r="E24" s="4">
        <v>1337</v>
      </c>
      <c r="F24" s="5">
        <v>82329</v>
      </c>
      <c r="G24" s="6" t="s">
        <v>349</v>
      </c>
    </row>
    <row r="25" spans="2:7" x14ac:dyDescent="0.25">
      <c r="B25" s="7" t="s">
        <v>111</v>
      </c>
      <c r="C25" s="3" t="s">
        <v>153</v>
      </c>
      <c r="D25" s="4" t="s">
        <v>278</v>
      </c>
      <c r="E25" s="4">
        <v>1335</v>
      </c>
      <c r="F25" s="5">
        <v>82236</v>
      </c>
      <c r="G25" s="6" t="s">
        <v>346</v>
      </c>
    </row>
    <row r="26" spans="2:7" x14ac:dyDescent="0.25">
      <c r="B26" s="2" t="s">
        <v>69</v>
      </c>
      <c r="C26" s="3" t="s">
        <v>151</v>
      </c>
      <c r="D26" s="4" t="s">
        <v>237</v>
      </c>
      <c r="E26" s="4">
        <v>1329</v>
      </c>
      <c r="F26" s="5">
        <v>81867</v>
      </c>
      <c r="G26" s="6" t="s">
        <v>334</v>
      </c>
    </row>
    <row r="27" spans="2:7" x14ac:dyDescent="0.25">
      <c r="B27" s="2" t="s">
        <v>125</v>
      </c>
      <c r="C27" s="3" t="s">
        <v>151</v>
      </c>
      <c r="D27" s="4" t="s">
        <v>291</v>
      </c>
      <c r="E27" s="4">
        <v>1325</v>
      </c>
      <c r="F27" s="5">
        <v>81590</v>
      </c>
      <c r="G27" s="6" t="s">
        <v>334</v>
      </c>
    </row>
    <row r="28" spans="2:7" x14ac:dyDescent="0.25">
      <c r="B28" s="2" t="s">
        <v>102</v>
      </c>
      <c r="C28" s="3" t="s">
        <v>151</v>
      </c>
      <c r="D28" s="4" t="s">
        <v>269</v>
      </c>
      <c r="E28" s="4">
        <v>1310</v>
      </c>
      <c r="F28" s="5">
        <v>80666</v>
      </c>
      <c r="G28" s="6" t="s">
        <v>337</v>
      </c>
    </row>
    <row r="29" spans="2:7" x14ac:dyDescent="0.25">
      <c r="B29" s="2" t="s">
        <v>108</v>
      </c>
      <c r="C29" s="3" t="s">
        <v>163</v>
      </c>
      <c r="D29" s="4" t="s">
        <v>275</v>
      </c>
      <c r="E29" s="4">
        <v>1304</v>
      </c>
      <c r="F29" s="5">
        <v>80296</v>
      </c>
      <c r="G29" s="6" t="s">
        <v>343</v>
      </c>
    </row>
    <row r="30" spans="2:7" x14ac:dyDescent="0.25">
      <c r="B30" s="2" t="s">
        <v>132</v>
      </c>
      <c r="C30" s="3" t="s">
        <v>158</v>
      </c>
      <c r="D30" s="4" t="s">
        <v>298</v>
      </c>
      <c r="E30" s="4">
        <v>1286</v>
      </c>
      <c r="F30" s="5">
        <v>79187</v>
      </c>
      <c r="G30" s="6" t="s">
        <v>333</v>
      </c>
    </row>
    <row r="31" spans="2:7" x14ac:dyDescent="0.25">
      <c r="B31" s="2" t="s">
        <v>57</v>
      </c>
      <c r="C31" s="3" t="s">
        <v>165</v>
      </c>
      <c r="D31" s="4" t="s">
        <v>225</v>
      </c>
      <c r="E31" s="4">
        <v>1271</v>
      </c>
      <c r="F31" s="5">
        <v>78263</v>
      </c>
      <c r="G31" s="6" t="s">
        <v>326</v>
      </c>
    </row>
    <row r="32" spans="2:7" x14ac:dyDescent="0.25">
      <c r="B32" s="7" t="s">
        <v>115</v>
      </c>
      <c r="C32" s="3" t="s">
        <v>157</v>
      </c>
      <c r="D32" s="4" t="s">
        <v>282</v>
      </c>
      <c r="E32" s="4">
        <v>1269</v>
      </c>
      <c r="F32" s="5">
        <v>78171</v>
      </c>
      <c r="G32" s="6" t="s">
        <v>350</v>
      </c>
    </row>
    <row r="33" spans="2:7" x14ac:dyDescent="0.25">
      <c r="B33" s="2" t="s">
        <v>87</v>
      </c>
      <c r="C33" s="3" t="s">
        <v>157</v>
      </c>
      <c r="D33" s="4" t="s">
        <v>255</v>
      </c>
      <c r="E33" s="4">
        <v>1251</v>
      </c>
      <c r="F33" s="5">
        <v>77062</v>
      </c>
      <c r="G33" s="6" t="s">
        <v>322</v>
      </c>
    </row>
    <row r="34" spans="2:7" x14ac:dyDescent="0.25">
      <c r="B34" s="7" t="s">
        <v>3</v>
      </c>
      <c r="C34" s="3" t="s">
        <v>153</v>
      </c>
      <c r="D34" s="4" t="s">
        <v>171</v>
      </c>
      <c r="E34" s="4">
        <v>1242</v>
      </c>
      <c r="F34" s="5">
        <v>76508</v>
      </c>
      <c r="G34" s="6" t="s">
        <v>322</v>
      </c>
    </row>
    <row r="35" spans="2:7" x14ac:dyDescent="0.25">
      <c r="B35" s="7" t="s">
        <v>109</v>
      </c>
      <c r="C35" s="3" t="s">
        <v>163</v>
      </c>
      <c r="D35" s="4" t="s">
        <v>276</v>
      </c>
      <c r="E35" s="4">
        <v>1239</v>
      </c>
      <c r="F35" s="5">
        <v>76323</v>
      </c>
      <c r="G35" s="6" t="s">
        <v>344</v>
      </c>
    </row>
    <row r="36" spans="2:7" x14ac:dyDescent="0.25">
      <c r="B36" s="2" t="s">
        <v>5</v>
      </c>
      <c r="C36" s="3" t="s">
        <v>155</v>
      </c>
      <c r="D36" s="4" t="s">
        <v>173</v>
      </c>
      <c r="E36" s="4">
        <v>1220</v>
      </c>
      <c r="F36" s="5">
        <v>75122</v>
      </c>
      <c r="G36" s="6" t="s">
        <v>324</v>
      </c>
    </row>
    <row r="37" spans="2:7" x14ac:dyDescent="0.25">
      <c r="B37" s="2" t="s">
        <v>4</v>
      </c>
      <c r="C37" s="3" t="s">
        <v>154</v>
      </c>
      <c r="D37" s="4" t="s">
        <v>172</v>
      </c>
      <c r="E37" s="4">
        <v>1220</v>
      </c>
      <c r="F37" s="5">
        <v>75122</v>
      </c>
      <c r="G37" s="6" t="s">
        <v>323</v>
      </c>
    </row>
    <row r="38" spans="2:7" x14ac:dyDescent="0.25">
      <c r="B38" s="2" t="s">
        <v>126</v>
      </c>
      <c r="C38" s="3" t="s">
        <v>158</v>
      </c>
      <c r="D38" s="4" t="s">
        <v>292</v>
      </c>
      <c r="E38" s="4">
        <v>1217</v>
      </c>
      <c r="F38" s="5">
        <v>74937</v>
      </c>
      <c r="G38" s="6" t="s">
        <v>350</v>
      </c>
    </row>
    <row r="39" spans="2:7" x14ac:dyDescent="0.25">
      <c r="B39" s="2" t="s">
        <v>113</v>
      </c>
      <c r="C39" s="3" t="s">
        <v>162</v>
      </c>
      <c r="D39" s="4" t="s">
        <v>280</v>
      </c>
      <c r="E39" s="4">
        <v>1205</v>
      </c>
      <c r="F39" s="5">
        <v>74198</v>
      </c>
      <c r="G39" s="6" t="s">
        <v>348</v>
      </c>
    </row>
    <row r="40" spans="2:7" x14ac:dyDescent="0.25">
      <c r="B40" s="2" t="s">
        <v>107</v>
      </c>
      <c r="C40" s="3" t="s">
        <v>151</v>
      </c>
      <c r="D40" s="4" t="s">
        <v>274</v>
      </c>
      <c r="E40" s="4">
        <v>1191</v>
      </c>
      <c r="F40" s="5">
        <v>73366</v>
      </c>
      <c r="G40" s="6" t="s">
        <v>342</v>
      </c>
    </row>
    <row r="41" spans="2:7" x14ac:dyDescent="0.25">
      <c r="B41" s="2" t="s">
        <v>119</v>
      </c>
      <c r="C41" s="3" t="s">
        <v>151</v>
      </c>
      <c r="D41" s="4" t="s">
        <v>286</v>
      </c>
      <c r="E41" s="4">
        <v>1191</v>
      </c>
      <c r="F41" s="5">
        <v>73366</v>
      </c>
      <c r="G41" s="6" t="s">
        <v>335</v>
      </c>
    </row>
    <row r="42" spans="2:7" x14ac:dyDescent="0.25">
      <c r="B42" s="2" t="s">
        <v>11</v>
      </c>
      <c r="C42" s="3" t="s">
        <v>153</v>
      </c>
      <c r="D42" s="4" t="s">
        <v>179</v>
      </c>
      <c r="E42" s="4">
        <v>1185</v>
      </c>
      <c r="F42" s="5">
        <v>72996</v>
      </c>
      <c r="G42" s="6" t="s">
        <v>330</v>
      </c>
    </row>
    <row r="43" spans="2:7" x14ac:dyDescent="0.25">
      <c r="B43" s="2" t="s">
        <v>19</v>
      </c>
      <c r="C43" s="3" t="s">
        <v>157</v>
      </c>
      <c r="D43" s="4" t="s">
        <v>187</v>
      </c>
      <c r="E43" s="4">
        <v>1182</v>
      </c>
      <c r="F43" s="5">
        <v>72812</v>
      </c>
      <c r="G43" s="6" t="s">
        <v>338</v>
      </c>
    </row>
    <row r="44" spans="2:7" x14ac:dyDescent="0.25">
      <c r="B44" s="2" t="s">
        <v>27</v>
      </c>
      <c r="C44" s="3" t="s">
        <v>158</v>
      </c>
      <c r="D44" s="4" t="s">
        <v>195</v>
      </c>
      <c r="E44" s="4">
        <v>1178</v>
      </c>
      <c r="F44" s="5">
        <v>72534</v>
      </c>
      <c r="G44" s="6" t="s">
        <v>346</v>
      </c>
    </row>
    <row r="45" spans="2:7" x14ac:dyDescent="0.25">
      <c r="B45" s="7" t="s">
        <v>53</v>
      </c>
      <c r="C45" s="3" t="s">
        <v>154</v>
      </c>
      <c r="D45" s="4" t="s">
        <v>221</v>
      </c>
      <c r="E45" s="4">
        <v>1176</v>
      </c>
      <c r="F45" s="5">
        <v>72442</v>
      </c>
      <c r="G45" s="6" t="s">
        <v>322</v>
      </c>
    </row>
    <row r="46" spans="2:7" x14ac:dyDescent="0.25">
      <c r="B46" s="2" t="s">
        <v>20</v>
      </c>
      <c r="C46" s="3" t="s">
        <v>153</v>
      </c>
      <c r="D46" s="4" t="s">
        <v>188</v>
      </c>
      <c r="E46" s="4">
        <v>1118</v>
      </c>
      <c r="F46" s="5">
        <v>72116</v>
      </c>
      <c r="G46" s="6" t="s">
        <v>339</v>
      </c>
    </row>
    <row r="47" spans="2:7" x14ac:dyDescent="0.25">
      <c r="B47" s="2" t="s">
        <v>106</v>
      </c>
      <c r="C47" s="3" t="s">
        <v>155</v>
      </c>
      <c r="D47" s="4" t="s">
        <v>273</v>
      </c>
      <c r="E47" s="4">
        <v>1169</v>
      </c>
      <c r="F47" s="5">
        <v>71980</v>
      </c>
      <c r="G47" s="6" t="s">
        <v>341</v>
      </c>
    </row>
    <row r="48" spans="2:7" x14ac:dyDescent="0.25">
      <c r="B48" s="2" t="s">
        <v>143</v>
      </c>
      <c r="C48" s="3" t="s">
        <v>155</v>
      </c>
      <c r="D48" s="4" t="s">
        <v>309</v>
      </c>
      <c r="E48" s="4">
        <v>1112</v>
      </c>
      <c r="F48" s="5">
        <v>71729</v>
      </c>
      <c r="G48" s="6" t="s">
        <v>333</v>
      </c>
    </row>
    <row r="49" spans="2:7" x14ac:dyDescent="0.25">
      <c r="B49" s="7" t="s">
        <v>2</v>
      </c>
      <c r="C49" s="3" t="s">
        <v>152</v>
      </c>
      <c r="D49" s="4" t="s">
        <v>170</v>
      </c>
      <c r="E49" s="4">
        <v>1151</v>
      </c>
      <c r="F49" s="5">
        <v>70871</v>
      </c>
      <c r="G49" s="6" t="s">
        <v>321</v>
      </c>
    </row>
    <row r="50" spans="2:7" x14ac:dyDescent="0.25">
      <c r="B50" s="2" t="s">
        <v>110</v>
      </c>
      <c r="C50" s="3" t="s">
        <v>154</v>
      </c>
      <c r="D50" s="4" t="s">
        <v>277</v>
      </c>
      <c r="E50" s="4">
        <v>1136</v>
      </c>
      <c r="F50" s="5">
        <v>69947</v>
      </c>
      <c r="G50" s="6" t="s">
        <v>345</v>
      </c>
    </row>
    <row r="51" spans="2:7" x14ac:dyDescent="0.25">
      <c r="B51" s="7" t="s">
        <v>61</v>
      </c>
      <c r="C51" s="3" t="s">
        <v>159</v>
      </c>
      <c r="D51" s="4" t="s">
        <v>229</v>
      </c>
      <c r="E51" s="4">
        <v>1083</v>
      </c>
      <c r="F51" s="5">
        <v>69890</v>
      </c>
      <c r="G51" s="6" t="s">
        <v>319</v>
      </c>
    </row>
    <row r="52" spans="2:7" x14ac:dyDescent="0.25">
      <c r="B52" s="7" t="s">
        <v>58</v>
      </c>
      <c r="C52" s="3" t="s">
        <v>157</v>
      </c>
      <c r="D52" s="4" t="s">
        <v>226</v>
      </c>
      <c r="E52" s="4">
        <v>1080</v>
      </c>
      <c r="F52" s="5">
        <v>69696</v>
      </c>
      <c r="G52" s="6" t="s">
        <v>332</v>
      </c>
    </row>
    <row r="53" spans="2:7" x14ac:dyDescent="0.25">
      <c r="B53" s="2" t="s">
        <v>104</v>
      </c>
      <c r="C53" s="3" t="s">
        <v>155</v>
      </c>
      <c r="D53" s="4" t="s">
        <v>271</v>
      </c>
      <c r="E53" s="4">
        <v>1079</v>
      </c>
      <c r="F53" s="5">
        <v>69600</v>
      </c>
      <c r="G53" s="6" t="s">
        <v>339</v>
      </c>
    </row>
    <row r="54" spans="2:7" x14ac:dyDescent="0.25">
      <c r="B54" s="2" t="s">
        <v>91</v>
      </c>
      <c r="C54" s="3" t="s">
        <v>157</v>
      </c>
      <c r="D54" s="4" t="s">
        <v>259</v>
      </c>
      <c r="E54" s="4">
        <v>1034</v>
      </c>
      <c r="F54" s="5">
        <v>66696</v>
      </c>
      <c r="G54" s="6" t="s">
        <v>326</v>
      </c>
    </row>
    <row r="55" spans="2:7" x14ac:dyDescent="0.25">
      <c r="B55" s="2" t="s">
        <v>13</v>
      </c>
      <c r="C55" s="3" t="s">
        <v>153</v>
      </c>
      <c r="D55" s="4" t="s">
        <v>181</v>
      </c>
      <c r="E55" s="4">
        <v>1034</v>
      </c>
      <c r="F55" s="5">
        <v>66696</v>
      </c>
      <c r="G55" s="6" t="s">
        <v>332</v>
      </c>
    </row>
    <row r="56" spans="2:7" x14ac:dyDescent="0.25">
      <c r="B56" s="7" t="s">
        <v>68</v>
      </c>
      <c r="C56" s="3" t="s">
        <v>158</v>
      </c>
      <c r="D56" s="4" t="s">
        <v>236</v>
      </c>
      <c r="E56" s="4">
        <v>998</v>
      </c>
      <c r="F56" s="5">
        <v>64372</v>
      </c>
      <c r="G56" s="6" t="s">
        <v>336</v>
      </c>
    </row>
    <row r="57" spans="2:7" x14ac:dyDescent="0.25">
      <c r="B57" s="7" t="s">
        <v>146</v>
      </c>
      <c r="C57" s="3" t="s">
        <v>164</v>
      </c>
      <c r="D57" s="4" t="s">
        <v>312</v>
      </c>
      <c r="E57" s="4">
        <v>993</v>
      </c>
      <c r="F57" s="5">
        <v>64082</v>
      </c>
      <c r="G57" s="6" t="s">
        <v>320</v>
      </c>
    </row>
    <row r="58" spans="2:7" x14ac:dyDescent="0.25">
      <c r="B58" s="2" t="s">
        <v>39</v>
      </c>
      <c r="C58" s="3" t="s">
        <v>153</v>
      </c>
      <c r="D58" s="4" t="s">
        <v>207</v>
      </c>
      <c r="E58" s="4">
        <v>990</v>
      </c>
      <c r="F58" s="5">
        <v>63888</v>
      </c>
      <c r="G58" s="6" t="s">
        <v>339</v>
      </c>
    </row>
    <row r="59" spans="2:7" x14ac:dyDescent="0.25">
      <c r="B59" s="7" t="s">
        <v>18</v>
      </c>
      <c r="C59" s="3" t="s">
        <v>158</v>
      </c>
      <c r="D59" s="4" t="s">
        <v>186</v>
      </c>
      <c r="E59" s="4">
        <v>977</v>
      </c>
      <c r="F59" s="5">
        <v>63017</v>
      </c>
      <c r="G59" s="6" t="s">
        <v>337</v>
      </c>
    </row>
    <row r="60" spans="2:7" x14ac:dyDescent="0.25">
      <c r="B60" s="7" t="s">
        <v>16</v>
      </c>
      <c r="C60" s="3" t="s">
        <v>159</v>
      </c>
      <c r="D60" s="4" t="s">
        <v>184</v>
      </c>
      <c r="E60" s="4">
        <v>968</v>
      </c>
      <c r="F60" s="5">
        <v>62436</v>
      </c>
      <c r="G60" s="6" t="s">
        <v>335</v>
      </c>
    </row>
    <row r="61" spans="2:7" x14ac:dyDescent="0.25">
      <c r="B61" s="2" t="s">
        <v>21</v>
      </c>
      <c r="C61" s="3" t="s">
        <v>157</v>
      </c>
      <c r="D61" s="4" t="s">
        <v>189</v>
      </c>
      <c r="E61" s="4">
        <v>965</v>
      </c>
      <c r="F61" s="5">
        <v>62243</v>
      </c>
      <c r="G61" s="6" t="s">
        <v>340</v>
      </c>
    </row>
    <row r="62" spans="2:7" x14ac:dyDescent="0.25">
      <c r="B62" s="2" t="s">
        <v>37</v>
      </c>
      <c r="C62" s="3" t="s">
        <v>161</v>
      </c>
      <c r="D62" s="4" t="s">
        <v>205</v>
      </c>
      <c r="E62" s="4">
        <v>965</v>
      </c>
      <c r="F62" s="5">
        <v>62243</v>
      </c>
      <c r="G62" s="6" t="s">
        <v>337</v>
      </c>
    </row>
    <row r="63" spans="2:7" x14ac:dyDescent="0.25">
      <c r="B63" s="2" t="s">
        <v>33</v>
      </c>
      <c r="C63" s="3" t="s">
        <v>160</v>
      </c>
      <c r="D63" s="4" t="s">
        <v>201</v>
      </c>
      <c r="E63" s="4">
        <v>956</v>
      </c>
      <c r="F63" s="5">
        <v>61662</v>
      </c>
      <c r="G63" s="6" t="s">
        <v>352</v>
      </c>
    </row>
    <row r="64" spans="2:7" x14ac:dyDescent="0.25">
      <c r="B64" s="2" t="s">
        <v>50</v>
      </c>
      <c r="C64" s="3" t="s">
        <v>162</v>
      </c>
      <c r="D64" s="4" t="s">
        <v>218</v>
      </c>
      <c r="E64" s="4">
        <v>954</v>
      </c>
      <c r="F64" s="5">
        <v>61565</v>
      </c>
      <c r="G64" s="6" t="s">
        <v>319</v>
      </c>
    </row>
    <row r="65" spans="2:7" x14ac:dyDescent="0.25">
      <c r="B65" s="2" t="s">
        <v>137</v>
      </c>
      <c r="C65" s="3" t="s">
        <v>156</v>
      </c>
      <c r="D65" s="4" t="s">
        <v>303</v>
      </c>
      <c r="E65" s="4">
        <v>950</v>
      </c>
      <c r="F65" s="5">
        <v>61275</v>
      </c>
      <c r="G65" s="6" t="s">
        <v>322</v>
      </c>
    </row>
    <row r="66" spans="2:7" x14ac:dyDescent="0.25">
      <c r="B66" s="2" t="s">
        <v>36</v>
      </c>
      <c r="C66" s="3" t="s">
        <v>155</v>
      </c>
      <c r="D66" s="4" t="s">
        <v>204</v>
      </c>
      <c r="E66" s="4">
        <v>933</v>
      </c>
      <c r="F66" s="5">
        <v>60210</v>
      </c>
      <c r="G66" s="6" t="s">
        <v>336</v>
      </c>
    </row>
    <row r="67" spans="2:7" x14ac:dyDescent="0.25">
      <c r="B67" s="2" t="s">
        <v>118</v>
      </c>
      <c r="C67" s="3" t="s">
        <v>163</v>
      </c>
      <c r="D67" s="4" t="s">
        <v>285</v>
      </c>
      <c r="E67" s="4">
        <v>927</v>
      </c>
      <c r="F67" s="5">
        <v>59823</v>
      </c>
      <c r="G67" s="6" t="s">
        <v>334</v>
      </c>
    </row>
    <row r="68" spans="2:7" x14ac:dyDescent="0.25">
      <c r="B68" s="2" t="s">
        <v>63</v>
      </c>
      <c r="C68" s="3" t="s">
        <v>151</v>
      </c>
      <c r="D68" s="4" t="s">
        <v>231</v>
      </c>
      <c r="E68" s="4">
        <v>914</v>
      </c>
      <c r="F68" s="5">
        <v>58952</v>
      </c>
      <c r="G68" s="6" t="s">
        <v>321</v>
      </c>
    </row>
    <row r="69" spans="2:7" x14ac:dyDescent="0.25">
      <c r="B69" s="7" t="s">
        <v>78</v>
      </c>
      <c r="C69" s="3" t="s">
        <v>157</v>
      </c>
      <c r="D69" s="4" t="s">
        <v>246</v>
      </c>
      <c r="E69" s="4">
        <v>906</v>
      </c>
      <c r="F69" s="5">
        <v>58468</v>
      </c>
      <c r="G69" s="6" t="s">
        <v>334</v>
      </c>
    </row>
    <row r="70" spans="2:7" x14ac:dyDescent="0.25">
      <c r="B70" s="7" t="s">
        <v>29</v>
      </c>
      <c r="C70" s="3" t="s">
        <v>151</v>
      </c>
      <c r="D70" s="4" t="s">
        <v>197</v>
      </c>
      <c r="E70" s="4">
        <v>902</v>
      </c>
      <c r="F70" s="5">
        <v>58177</v>
      </c>
      <c r="G70" s="6" t="s">
        <v>348</v>
      </c>
    </row>
    <row r="71" spans="2:7" x14ac:dyDescent="0.25">
      <c r="B71" s="7" t="s">
        <v>6</v>
      </c>
      <c r="C71" s="3" t="s">
        <v>156</v>
      </c>
      <c r="D71" s="4" t="s">
        <v>174</v>
      </c>
      <c r="E71" s="4">
        <v>887</v>
      </c>
      <c r="F71" s="5">
        <v>57209</v>
      </c>
      <c r="G71" s="6" t="s">
        <v>325</v>
      </c>
    </row>
    <row r="72" spans="2:7" x14ac:dyDescent="0.25">
      <c r="B72" s="7" t="s">
        <v>35</v>
      </c>
      <c r="C72" s="3" t="s">
        <v>160</v>
      </c>
      <c r="D72" s="4" t="s">
        <v>203</v>
      </c>
      <c r="E72" s="4">
        <v>875</v>
      </c>
      <c r="F72" s="5">
        <v>56435</v>
      </c>
      <c r="G72" s="6" t="s">
        <v>335</v>
      </c>
    </row>
    <row r="73" spans="2:7" x14ac:dyDescent="0.25">
      <c r="B73" s="7" t="s">
        <v>64</v>
      </c>
      <c r="C73" s="3" t="s">
        <v>158</v>
      </c>
      <c r="D73" s="4" t="s">
        <v>232</v>
      </c>
      <c r="E73" s="4">
        <v>863</v>
      </c>
      <c r="F73" s="5">
        <v>55660</v>
      </c>
      <c r="G73" s="6" t="s">
        <v>351</v>
      </c>
    </row>
    <row r="74" spans="2:7" x14ac:dyDescent="0.25">
      <c r="B74" s="7" t="s">
        <v>131</v>
      </c>
      <c r="C74" s="3" t="s">
        <v>163</v>
      </c>
      <c r="D74" s="4" t="s">
        <v>297</v>
      </c>
      <c r="E74" s="4">
        <v>846</v>
      </c>
      <c r="F74" s="5">
        <v>54596</v>
      </c>
      <c r="G74" s="6" t="s">
        <v>332</v>
      </c>
    </row>
    <row r="75" spans="2:7" x14ac:dyDescent="0.25">
      <c r="B75" s="2" t="s">
        <v>136</v>
      </c>
      <c r="C75" s="3" t="s">
        <v>162</v>
      </c>
      <c r="D75" s="4" t="s">
        <v>302</v>
      </c>
      <c r="E75" s="4">
        <v>830</v>
      </c>
      <c r="F75" s="5">
        <v>53531</v>
      </c>
      <c r="G75" s="6" t="s">
        <v>321</v>
      </c>
    </row>
    <row r="76" spans="2:7" x14ac:dyDescent="0.25">
      <c r="B76" s="2" t="s">
        <v>56</v>
      </c>
      <c r="C76" s="3" t="s">
        <v>160</v>
      </c>
      <c r="D76" s="4" t="s">
        <v>224</v>
      </c>
      <c r="E76" s="4">
        <v>819</v>
      </c>
      <c r="F76" s="5">
        <v>52853</v>
      </c>
      <c r="G76" s="6" t="s">
        <v>325</v>
      </c>
    </row>
    <row r="77" spans="2:7" x14ac:dyDescent="0.25">
      <c r="B77" s="2" t="s">
        <v>145</v>
      </c>
      <c r="C77" s="3" t="s">
        <v>163</v>
      </c>
      <c r="D77" s="4" t="s">
        <v>311</v>
      </c>
      <c r="E77" s="4">
        <v>818</v>
      </c>
      <c r="F77" s="5">
        <v>52756</v>
      </c>
      <c r="G77" s="6" t="s">
        <v>319</v>
      </c>
    </row>
    <row r="78" spans="2:7" x14ac:dyDescent="0.25">
      <c r="B78" s="2" t="s">
        <v>43</v>
      </c>
      <c r="C78" s="3" t="s">
        <v>156</v>
      </c>
      <c r="D78" s="4" t="s">
        <v>211</v>
      </c>
      <c r="E78" s="4">
        <v>804</v>
      </c>
      <c r="F78" s="5">
        <v>51885</v>
      </c>
      <c r="G78" s="6" t="s">
        <v>351</v>
      </c>
    </row>
    <row r="79" spans="2:7" x14ac:dyDescent="0.25">
      <c r="B79" s="7" t="s">
        <v>59</v>
      </c>
      <c r="C79" s="3" t="s">
        <v>150</v>
      </c>
      <c r="D79" s="4" t="s">
        <v>227</v>
      </c>
      <c r="E79" s="4">
        <v>744</v>
      </c>
      <c r="F79" s="5">
        <v>51287</v>
      </c>
      <c r="G79" s="6" t="s">
        <v>333</v>
      </c>
    </row>
    <row r="80" spans="2:7" x14ac:dyDescent="0.25">
      <c r="B80" s="2" t="s">
        <v>101</v>
      </c>
      <c r="C80" s="3" t="s">
        <v>151</v>
      </c>
      <c r="D80" s="4" t="s">
        <v>268</v>
      </c>
      <c r="E80" s="4">
        <v>741</v>
      </c>
      <c r="F80" s="5">
        <v>51080</v>
      </c>
      <c r="G80" s="6" t="s">
        <v>336</v>
      </c>
    </row>
    <row r="81" spans="2:7" x14ac:dyDescent="0.25">
      <c r="B81" s="2" t="s">
        <v>129</v>
      </c>
      <c r="C81" s="3" t="s">
        <v>158</v>
      </c>
      <c r="D81" s="4" t="s">
        <v>295</v>
      </c>
      <c r="E81" s="4">
        <v>783</v>
      </c>
      <c r="F81" s="5">
        <v>50530</v>
      </c>
      <c r="G81" s="6" t="s">
        <v>330</v>
      </c>
    </row>
    <row r="82" spans="2:7" x14ac:dyDescent="0.25">
      <c r="B82" s="2" t="s">
        <v>34</v>
      </c>
      <c r="C82" s="3" t="s">
        <v>160</v>
      </c>
      <c r="D82" s="4" t="s">
        <v>202</v>
      </c>
      <c r="E82" s="4">
        <v>729</v>
      </c>
      <c r="F82" s="5">
        <v>50253</v>
      </c>
      <c r="G82" s="6" t="s">
        <v>334</v>
      </c>
    </row>
    <row r="83" spans="2:7" x14ac:dyDescent="0.25">
      <c r="B83" s="7" t="s">
        <v>31</v>
      </c>
      <c r="C83" s="3" t="s">
        <v>157</v>
      </c>
      <c r="D83" s="4" t="s">
        <v>199</v>
      </c>
      <c r="E83" s="4">
        <v>716</v>
      </c>
      <c r="F83" s="5">
        <v>49322</v>
      </c>
      <c r="G83" s="6" t="s">
        <v>350</v>
      </c>
    </row>
    <row r="84" spans="2:7" x14ac:dyDescent="0.25">
      <c r="B84" s="2" t="s">
        <v>89</v>
      </c>
      <c r="C84" s="3" t="s">
        <v>162</v>
      </c>
      <c r="D84" s="4" t="s">
        <v>257</v>
      </c>
      <c r="E84" s="4">
        <v>699</v>
      </c>
      <c r="F84" s="5">
        <v>48185</v>
      </c>
      <c r="G84" s="6" t="s">
        <v>324</v>
      </c>
    </row>
    <row r="85" spans="2:7" x14ac:dyDescent="0.25">
      <c r="B85" s="2" t="s">
        <v>81</v>
      </c>
      <c r="C85" s="3" t="s">
        <v>155</v>
      </c>
      <c r="D85" s="4" t="s">
        <v>249</v>
      </c>
      <c r="E85" s="4">
        <v>689</v>
      </c>
      <c r="F85" s="5">
        <v>47461</v>
      </c>
      <c r="G85" s="6" t="s">
        <v>337</v>
      </c>
    </row>
    <row r="86" spans="2:7" x14ac:dyDescent="0.25">
      <c r="B86" s="2" t="s">
        <v>65</v>
      </c>
      <c r="C86" s="3" t="s">
        <v>157</v>
      </c>
      <c r="D86" s="4" t="s">
        <v>233</v>
      </c>
      <c r="E86" s="4">
        <v>686</v>
      </c>
      <c r="F86" s="5">
        <v>47254</v>
      </c>
      <c r="G86" s="6" t="s">
        <v>352</v>
      </c>
    </row>
    <row r="87" spans="2:7" x14ac:dyDescent="0.25">
      <c r="B87" s="2" t="s">
        <v>79</v>
      </c>
      <c r="C87" s="3" t="s">
        <v>165</v>
      </c>
      <c r="D87" s="4" t="s">
        <v>247</v>
      </c>
      <c r="E87" s="4">
        <v>680</v>
      </c>
      <c r="F87" s="5">
        <v>46841</v>
      </c>
      <c r="G87" s="6" t="s">
        <v>335</v>
      </c>
    </row>
    <row r="88" spans="2:7" x14ac:dyDescent="0.25">
      <c r="B88" s="2" t="s">
        <v>70</v>
      </c>
      <c r="C88" s="3" t="s">
        <v>159</v>
      </c>
      <c r="D88" s="4" t="s">
        <v>238</v>
      </c>
      <c r="E88" s="4">
        <v>677</v>
      </c>
      <c r="F88" s="5">
        <v>46634</v>
      </c>
      <c r="G88" s="6" t="s">
        <v>335</v>
      </c>
    </row>
    <row r="89" spans="2:7" x14ac:dyDescent="0.25">
      <c r="B89" s="2" t="s">
        <v>97</v>
      </c>
      <c r="C89" s="3" t="s">
        <v>151</v>
      </c>
      <c r="D89" s="4" t="s">
        <v>265</v>
      </c>
      <c r="E89" s="4">
        <v>669</v>
      </c>
      <c r="F89" s="5">
        <v>46117</v>
      </c>
      <c r="G89" s="6" t="s">
        <v>332</v>
      </c>
    </row>
    <row r="90" spans="2:7" x14ac:dyDescent="0.25">
      <c r="B90" s="7" t="s">
        <v>86</v>
      </c>
      <c r="C90" s="3" t="s">
        <v>151</v>
      </c>
      <c r="D90" s="4" t="s">
        <v>254</v>
      </c>
      <c r="E90" s="4">
        <v>663</v>
      </c>
      <c r="F90" s="5">
        <v>45703</v>
      </c>
      <c r="G90" s="6" t="s">
        <v>321</v>
      </c>
    </row>
    <row r="91" spans="2:7" x14ac:dyDescent="0.25">
      <c r="B91" s="2" t="s">
        <v>80</v>
      </c>
      <c r="C91" s="3" t="s">
        <v>150</v>
      </c>
      <c r="D91" s="4" t="s">
        <v>248</v>
      </c>
      <c r="E91" s="4">
        <v>651</v>
      </c>
      <c r="F91" s="5">
        <v>44876</v>
      </c>
      <c r="G91" s="6" t="s">
        <v>336</v>
      </c>
    </row>
    <row r="92" spans="2:7" x14ac:dyDescent="0.25">
      <c r="B92" s="2" t="s">
        <v>88</v>
      </c>
      <c r="C92" s="3" t="s">
        <v>158</v>
      </c>
      <c r="D92" s="4" t="s">
        <v>256</v>
      </c>
      <c r="E92" s="4">
        <v>621</v>
      </c>
      <c r="F92" s="5">
        <v>42808</v>
      </c>
      <c r="G92" s="6" t="s">
        <v>323</v>
      </c>
    </row>
    <row r="93" spans="2:7" x14ac:dyDescent="0.25">
      <c r="B93" s="2" t="s">
        <v>94</v>
      </c>
      <c r="C93" s="3" t="s">
        <v>151</v>
      </c>
      <c r="D93" s="4" t="s">
        <v>262</v>
      </c>
      <c r="E93" s="4">
        <v>621</v>
      </c>
      <c r="F93" s="5">
        <v>42808</v>
      </c>
      <c r="G93" s="6" t="s">
        <v>329</v>
      </c>
    </row>
    <row r="94" spans="2:7" x14ac:dyDescent="0.25">
      <c r="B94" s="7" t="s">
        <v>67</v>
      </c>
      <c r="C94" s="3" t="s">
        <v>158</v>
      </c>
      <c r="D94" s="4" t="s">
        <v>235</v>
      </c>
      <c r="E94" s="4">
        <v>612</v>
      </c>
      <c r="F94" s="5">
        <v>42188</v>
      </c>
      <c r="G94" s="6" t="s">
        <v>335</v>
      </c>
    </row>
    <row r="95" spans="2:7" x14ac:dyDescent="0.25">
      <c r="B95" s="2" t="s">
        <v>38</v>
      </c>
      <c r="C95" s="3" t="s">
        <v>161</v>
      </c>
      <c r="D95" s="4" t="s">
        <v>206</v>
      </c>
      <c r="E95" s="4">
        <v>600</v>
      </c>
      <c r="F95" s="5">
        <v>41360</v>
      </c>
      <c r="G95" s="6" t="s">
        <v>338</v>
      </c>
    </row>
    <row r="96" spans="2:7" x14ac:dyDescent="0.25">
      <c r="B96" s="2" t="s">
        <v>90</v>
      </c>
      <c r="C96" s="3" t="s">
        <v>155</v>
      </c>
      <c r="D96" s="4" t="s">
        <v>258</v>
      </c>
      <c r="E96" s="4">
        <v>581</v>
      </c>
      <c r="F96" s="5">
        <v>40016</v>
      </c>
      <c r="G96" s="6" t="s">
        <v>325</v>
      </c>
    </row>
    <row r="97" spans="2:7" x14ac:dyDescent="0.25">
      <c r="B97" s="7" t="s">
        <v>66</v>
      </c>
      <c r="C97" s="3" t="s">
        <v>158</v>
      </c>
      <c r="D97" s="4" t="s">
        <v>234</v>
      </c>
      <c r="E97" s="4">
        <v>576</v>
      </c>
      <c r="F97" s="5">
        <v>39706</v>
      </c>
      <c r="G97" s="6" t="s">
        <v>334</v>
      </c>
    </row>
    <row r="98" spans="2:7" x14ac:dyDescent="0.25">
      <c r="B98" s="2" t="s">
        <v>28</v>
      </c>
      <c r="C98" s="3" t="s">
        <v>151</v>
      </c>
      <c r="D98" s="4" t="s">
        <v>196</v>
      </c>
      <c r="E98" s="4">
        <v>570</v>
      </c>
      <c r="F98" s="5">
        <v>39292</v>
      </c>
      <c r="G98" s="6" t="s">
        <v>347</v>
      </c>
    </row>
    <row r="99" spans="2:7" x14ac:dyDescent="0.25">
      <c r="B99" s="2" t="s">
        <v>15</v>
      </c>
      <c r="C99" s="3" t="s">
        <v>150</v>
      </c>
      <c r="D99" s="4" t="s">
        <v>183</v>
      </c>
      <c r="E99" s="4">
        <v>555</v>
      </c>
      <c r="F99" s="5">
        <v>38258</v>
      </c>
      <c r="G99" s="6" t="s">
        <v>334</v>
      </c>
    </row>
    <row r="100" spans="2:7" x14ac:dyDescent="0.25">
      <c r="B100" s="2" t="s">
        <v>77</v>
      </c>
      <c r="C100" s="3" t="s">
        <v>157</v>
      </c>
      <c r="D100" s="4" t="s">
        <v>245</v>
      </c>
      <c r="E100" s="4">
        <v>536</v>
      </c>
      <c r="F100" s="5">
        <v>36914</v>
      </c>
      <c r="G100" s="6" t="s">
        <v>352</v>
      </c>
    </row>
    <row r="101" spans="2:7" x14ac:dyDescent="0.25">
      <c r="B101" s="2" t="s">
        <v>17</v>
      </c>
      <c r="C101" s="3" t="s">
        <v>158</v>
      </c>
      <c r="D101" s="4" t="s">
        <v>185</v>
      </c>
      <c r="E101" s="4">
        <v>519</v>
      </c>
      <c r="F101" s="5">
        <v>35777</v>
      </c>
      <c r="G101" s="6" t="s">
        <v>336</v>
      </c>
    </row>
    <row r="102" spans="2:7" x14ac:dyDescent="0.25">
      <c r="B102" s="2" t="s">
        <v>85</v>
      </c>
      <c r="C102" s="3" t="s">
        <v>151</v>
      </c>
      <c r="D102" s="4" t="s">
        <v>253</v>
      </c>
      <c r="E102" s="4">
        <v>519</v>
      </c>
      <c r="F102" s="5">
        <v>35777</v>
      </c>
      <c r="G102" s="6" t="s">
        <v>320</v>
      </c>
    </row>
    <row r="103" spans="2:7" x14ac:dyDescent="0.25">
      <c r="B103" s="2" t="s">
        <v>76</v>
      </c>
      <c r="C103" s="3" t="s">
        <v>157</v>
      </c>
      <c r="D103" s="4" t="s">
        <v>244</v>
      </c>
      <c r="E103" s="4">
        <v>485</v>
      </c>
      <c r="F103" s="5">
        <v>33399</v>
      </c>
      <c r="G103" s="6" t="s">
        <v>341</v>
      </c>
    </row>
    <row r="104" spans="2:7" x14ac:dyDescent="0.25">
      <c r="B104" s="2" t="s">
        <v>0</v>
      </c>
      <c r="C104" s="3" t="s">
        <v>150</v>
      </c>
      <c r="D104" s="4" t="s">
        <v>168</v>
      </c>
      <c r="E104" s="4">
        <v>464</v>
      </c>
      <c r="F104" s="5">
        <v>31951</v>
      </c>
      <c r="G104" s="6" t="s">
        <v>319</v>
      </c>
    </row>
    <row r="105" spans="2:7" x14ac:dyDescent="0.25">
      <c r="B105" s="2" t="s">
        <v>26</v>
      </c>
      <c r="C105" s="3" t="s">
        <v>151</v>
      </c>
      <c r="D105" s="4" t="s">
        <v>194</v>
      </c>
      <c r="E105" s="4">
        <v>458</v>
      </c>
      <c r="F105" s="5">
        <v>31537</v>
      </c>
      <c r="G105" s="6" t="s">
        <v>345</v>
      </c>
    </row>
    <row r="106" spans="2:7" x14ac:dyDescent="0.25">
      <c r="B106" s="7" t="s">
        <v>133</v>
      </c>
      <c r="C106" s="3" t="s">
        <v>163</v>
      </c>
      <c r="D106" s="4" t="s">
        <v>299</v>
      </c>
      <c r="E106" s="4">
        <v>455</v>
      </c>
      <c r="F106" s="5">
        <v>31331</v>
      </c>
      <c r="G106" s="6" t="s">
        <v>334</v>
      </c>
    </row>
    <row r="107" spans="2:7" x14ac:dyDescent="0.25">
      <c r="B107" s="2" t="s">
        <v>134</v>
      </c>
      <c r="C107" s="3" t="s">
        <v>151</v>
      </c>
      <c r="D107" s="4" t="s">
        <v>300</v>
      </c>
      <c r="E107" s="4">
        <v>435</v>
      </c>
      <c r="F107" s="5">
        <v>29986</v>
      </c>
      <c r="G107" s="6" t="s">
        <v>319</v>
      </c>
    </row>
    <row r="108" spans="2:7" x14ac:dyDescent="0.25">
      <c r="B108" s="2" t="s">
        <v>49</v>
      </c>
      <c r="C108" s="3" t="s">
        <v>151</v>
      </c>
      <c r="D108" s="4" t="s">
        <v>217</v>
      </c>
      <c r="E108" s="4">
        <v>428</v>
      </c>
      <c r="F108" s="5">
        <v>29469</v>
      </c>
      <c r="G108" s="6" t="s">
        <v>334</v>
      </c>
    </row>
    <row r="109" spans="2:7" x14ac:dyDescent="0.25">
      <c r="B109" s="7" t="s">
        <v>147</v>
      </c>
      <c r="C109" s="3" t="s">
        <v>166</v>
      </c>
      <c r="D109" s="4" t="s">
        <v>313</v>
      </c>
      <c r="E109" s="4">
        <v>422</v>
      </c>
      <c r="F109" s="5">
        <v>29056</v>
      </c>
      <c r="G109" s="6" t="s">
        <v>321</v>
      </c>
    </row>
    <row r="110" spans="2:7" x14ac:dyDescent="0.25">
      <c r="B110" s="2" t="s">
        <v>120</v>
      </c>
      <c r="C110" s="3" t="s">
        <v>163</v>
      </c>
      <c r="D110" s="4" t="s">
        <v>287</v>
      </c>
      <c r="E110" s="4">
        <v>419</v>
      </c>
      <c r="F110" s="5">
        <v>28849</v>
      </c>
      <c r="G110" s="6" t="s">
        <v>336</v>
      </c>
    </row>
    <row r="111" spans="2:7" x14ac:dyDescent="0.25">
      <c r="B111" s="7" t="s">
        <v>48</v>
      </c>
      <c r="C111" s="3" t="s">
        <v>153</v>
      </c>
      <c r="D111" s="4" t="s">
        <v>216</v>
      </c>
      <c r="E111" s="4">
        <v>417</v>
      </c>
      <c r="F111" s="5">
        <v>28746</v>
      </c>
      <c r="G111" s="6" t="s">
        <v>333</v>
      </c>
    </row>
    <row r="112" spans="2:7" x14ac:dyDescent="0.25">
      <c r="B112" s="7" t="s">
        <v>73</v>
      </c>
      <c r="C112" s="3" t="s">
        <v>165</v>
      </c>
      <c r="D112" s="4" t="s">
        <v>241</v>
      </c>
      <c r="E112" s="4">
        <v>390</v>
      </c>
      <c r="F112" s="5">
        <v>26884</v>
      </c>
      <c r="G112" s="6" t="s">
        <v>338</v>
      </c>
    </row>
    <row r="113" spans="2:7" x14ac:dyDescent="0.25">
      <c r="B113" s="7" t="s">
        <v>141</v>
      </c>
      <c r="C113" s="3" t="s">
        <v>151</v>
      </c>
      <c r="D113" s="4" t="s">
        <v>307</v>
      </c>
      <c r="E113" s="4">
        <v>357</v>
      </c>
      <c r="F113" s="5">
        <v>24610</v>
      </c>
      <c r="G113" s="6" t="s">
        <v>326</v>
      </c>
    </row>
    <row r="114" spans="2:7" x14ac:dyDescent="0.25">
      <c r="B114" s="7" t="s">
        <v>127</v>
      </c>
      <c r="C114" s="3" t="s">
        <v>151</v>
      </c>
      <c r="D114" s="4" t="s">
        <v>293</v>
      </c>
      <c r="E114" s="4">
        <v>351</v>
      </c>
      <c r="F114" s="5">
        <v>24196</v>
      </c>
      <c r="G114" s="6" t="s">
        <v>351</v>
      </c>
    </row>
    <row r="115" spans="2:7" x14ac:dyDescent="0.25">
      <c r="B115" s="7" t="s">
        <v>60</v>
      </c>
      <c r="C115" s="3" t="s">
        <v>153</v>
      </c>
      <c r="D115" s="4" t="s">
        <v>228</v>
      </c>
      <c r="E115" s="4">
        <v>345</v>
      </c>
      <c r="F115" s="5">
        <v>23782</v>
      </c>
      <c r="G115" s="6" t="s">
        <v>334</v>
      </c>
    </row>
    <row r="116" spans="2:7" x14ac:dyDescent="0.25">
      <c r="B116" s="2" t="s">
        <v>75</v>
      </c>
      <c r="C116" s="3" t="s">
        <v>153</v>
      </c>
      <c r="D116" s="4" t="s">
        <v>243</v>
      </c>
      <c r="E116" s="4">
        <v>339</v>
      </c>
      <c r="F116" s="5">
        <v>23369</v>
      </c>
      <c r="G116" s="6" t="s">
        <v>340</v>
      </c>
    </row>
    <row r="117" spans="2:7" x14ac:dyDescent="0.25">
      <c r="B117" s="7" t="s">
        <v>42</v>
      </c>
      <c r="C117" s="3" t="s">
        <v>157</v>
      </c>
      <c r="D117" s="4" t="s">
        <v>210</v>
      </c>
      <c r="E117" s="4">
        <v>336</v>
      </c>
      <c r="F117" s="5">
        <v>23162</v>
      </c>
      <c r="G117" s="6" t="s">
        <v>350</v>
      </c>
    </row>
    <row r="118" spans="2:7" x14ac:dyDescent="0.25">
      <c r="B118" s="2" t="s">
        <v>116</v>
      </c>
      <c r="C118" s="3" t="s">
        <v>151</v>
      </c>
      <c r="D118" s="4" t="s">
        <v>283</v>
      </c>
      <c r="E118" s="4">
        <v>309</v>
      </c>
      <c r="F118" s="5">
        <v>21301</v>
      </c>
      <c r="G118" s="6" t="s">
        <v>351</v>
      </c>
    </row>
    <row r="119" spans="2:7" x14ac:dyDescent="0.25">
      <c r="B119" s="7" t="s">
        <v>23</v>
      </c>
      <c r="C119" s="3" t="s">
        <v>158</v>
      </c>
      <c r="D119" s="4" t="s">
        <v>191</v>
      </c>
      <c r="E119" s="4">
        <v>285</v>
      </c>
      <c r="F119" s="5">
        <v>19646</v>
      </c>
      <c r="G119" s="6" t="s">
        <v>342</v>
      </c>
    </row>
    <row r="120" spans="2:7" x14ac:dyDescent="0.25">
      <c r="B120" s="2" t="s">
        <v>84</v>
      </c>
      <c r="C120" s="3" t="s">
        <v>151</v>
      </c>
      <c r="D120" s="4" t="s">
        <v>252</v>
      </c>
      <c r="E120" s="4">
        <v>279</v>
      </c>
      <c r="F120" s="5">
        <v>19233</v>
      </c>
      <c r="G120" s="6" t="s">
        <v>319</v>
      </c>
    </row>
    <row r="121" spans="2:7" x14ac:dyDescent="0.25">
      <c r="B121" s="7" t="s">
        <v>144</v>
      </c>
      <c r="C121" s="3" t="s">
        <v>155</v>
      </c>
      <c r="D121" s="4" t="s">
        <v>310</v>
      </c>
      <c r="E121" s="4">
        <v>278</v>
      </c>
      <c r="F121" s="5">
        <v>19129</v>
      </c>
      <c r="G121" s="6" t="s">
        <v>334</v>
      </c>
    </row>
    <row r="122" spans="2:7" x14ac:dyDescent="0.25">
      <c r="B122" s="7" t="s">
        <v>138</v>
      </c>
      <c r="C122" s="3" t="s">
        <v>162</v>
      </c>
      <c r="D122" s="4" t="s">
        <v>304</v>
      </c>
      <c r="E122" s="4">
        <v>269</v>
      </c>
      <c r="F122" s="5">
        <v>18509</v>
      </c>
      <c r="G122" s="6" t="s">
        <v>323</v>
      </c>
    </row>
    <row r="123" spans="2:7" x14ac:dyDescent="0.25">
      <c r="B123" s="2" t="s">
        <v>12</v>
      </c>
      <c r="C123" s="3" t="s">
        <v>153</v>
      </c>
      <c r="D123" s="4" t="s">
        <v>180</v>
      </c>
      <c r="E123" s="4">
        <v>249</v>
      </c>
      <c r="F123" s="5">
        <v>17165</v>
      </c>
      <c r="G123" s="6" t="s">
        <v>331</v>
      </c>
    </row>
    <row r="124" spans="2:7" x14ac:dyDescent="0.25">
      <c r="B124" s="2" t="s">
        <v>1</v>
      </c>
      <c r="C124" s="3" t="s">
        <v>151</v>
      </c>
      <c r="D124" s="4" t="s">
        <v>169</v>
      </c>
      <c r="E124" s="4">
        <v>243</v>
      </c>
      <c r="F124" s="5">
        <v>16751</v>
      </c>
      <c r="G124" s="6" t="s">
        <v>320</v>
      </c>
    </row>
    <row r="125" spans="2:7" x14ac:dyDescent="0.25">
      <c r="B125" s="7" t="s">
        <v>128</v>
      </c>
      <c r="C125" s="3" t="s">
        <v>157</v>
      </c>
      <c r="D125" s="4" t="s">
        <v>294</v>
      </c>
      <c r="E125" s="4">
        <v>236</v>
      </c>
      <c r="F125" s="5">
        <v>16234</v>
      </c>
      <c r="G125" s="6" t="s">
        <v>352</v>
      </c>
    </row>
    <row r="126" spans="2:7" x14ac:dyDescent="0.25">
      <c r="B126" s="7" t="s">
        <v>139</v>
      </c>
      <c r="C126" s="3" t="s">
        <v>152</v>
      </c>
      <c r="D126" s="4" t="s">
        <v>305</v>
      </c>
      <c r="E126" s="4">
        <v>231</v>
      </c>
      <c r="F126" s="5">
        <v>15924</v>
      </c>
      <c r="G126" s="6" t="s">
        <v>324</v>
      </c>
    </row>
    <row r="127" spans="2:7" x14ac:dyDescent="0.25">
      <c r="B127" s="2" t="s">
        <v>14</v>
      </c>
      <c r="C127" s="3" t="s">
        <v>158</v>
      </c>
      <c r="D127" s="4" t="s">
        <v>182</v>
      </c>
      <c r="E127" s="4">
        <v>218</v>
      </c>
      <c r="F127" s="5">
        <v>14993</v>
      </c>
      <c r="G127" s="6" t="s">
        <v>333</v>
      </c>
    </row>
    <row r="128" spans="2:7" x14ac:dyDescent="0.25">
      <c r="B128" s="7" t="s">
        <v>83</v>
      </c>
      <c r="C128" s="3" t="s">
        <v>163</v>
      </c>
      <c r="D128" s="4" t="s">
        <v>251</v>
      </c>
      <c r="E128" s="4">
        <v>197</v>
      </c>
      <c r="F128" s="5">
        <v>13546</v>
      </c>
      <c r="G128" s="6" t="s">
        <v>339</v>
      </c>
    </row>
    <row r="129" spans="2:7" x14ac:dyDescent="0.25">
      <c r="B129" s="2" t="s">
        <v>8</v>
      </c>
      <c r="C129" s="3" t="s">
        <v>156</v>
      </c>
      <c r="D129" s="4" t="s">
        <v>176</v>
      </c>
      <c r="E129" s="4">
        <v>195</v>
      </c>
      <c r="F129" s="5">
        <v>13442</v>
      </c>
      <c r="G129" s="6" t="s">
        <v>327</v>
      </c>
    </row>
    <row r="130" spans="2:7" x14ac:dyDescent="0.25">
      <c r="B130" s="7" t="s">
        <v>148</v>
      </c>
      <c r="C130" s="3" t="s">
        <v>155</v>
      </c>
      <c r="D130" s="4" t="s">
        <v>314</v>
      </c>
      <c r="E130" s="4">
        <v>182</v>
      </c>
      <c r="F130" s="5">
        <v>12512</v>
      </c>
      <c r="G130" s="6" t="s">
        <v>351</v>
      </c>
    </row>
    <row r="131" spans="2:7" x14ac:dyDescent="0.25">
      <c r="B131" s="2" t="s">
        <v>24</v>
      </c>
      <c r="C131" s="3" t="s">
        <v>151</v>
      </c>
      <c r="D131" s="4" t="s">
        <v>192</v>
      </c>
      <c r="E131" s="4">
        <v>176</v>
      </c>
      <c r="F131" s="5">
        <v>12098</v>
      </c>
      <c r="G131" s="6" t="s">
        <v>343</v>
      </c>
    </row>
    <row r="132" spans="2:7" x14ac:dyDescent="0.25">
      <c r="B132" s="2" t="s">
        <v>25</v>
      </c>
      <c r="C132" s="3" t="s">
        <v>151</v>
      </c>
      <c r="D132" s="4" t="s">
        <v>193</v>
      </c>
      <c r="E132" s="4">
        <v>176</v>
      </c>
      <c r="F132" s="5">
        <v>12098</v>
      </c>
      <c r="G132" s="6" t="s">
        <v>344</v>
      </c>
    </row>
    <row r="133" spans="2:7" x14ac:dyDescent="0.25">
      <c r="B133" s="2" t="s">
        <v>41</v>
      </c>
      <c r="C133" s="3" t="s">
        <v>158</v>
      </c>
      <c r="D133" s="4" t="s">
        <v>209</v>
      </c>
      <c r="E133" s="4">
        <v>168</v>
      </c>
      <c r="F133" s="5">
        <v>11581</v>
      </c>
      <c r="G133" s="6" t="s">
        <v>349</v>
      </c>
    </row>
    <row r="134" spans="2:7" x14ac:dyDescent="0.25">
      <c r="B134" s="7" t="s">
        <v>98</v>
      </c>
      <c r="C134" s="3" t="s">
        <v>151</v>
      </c>
      <c r="D134" s="4" t="s">
        <v>266</v>
      </c>
      <c r="E134" s="4">
        <v>168</v>
      </c>
      <c r="F134" s="5">
        <v>11581</v>
      </c>
      <c r="G134" s="6" t="s">
        <v>333</v>
      </c>
    </row>
    <row r="135" spans="2:7" x14ac:dyDescent="0.25">
      <c r="B135" s="7" t="s">
        <v>140</v>
      </c>
      <c r="C135" s="3" t="s">
        <v>157</v>
      </c>
      <c r="D135" s="4" t="s">
        <v>306</v>
      </c>
      <c r="E135" s="4">
        <v>159</v>
      </c>
      <c r="F135" s="5">
        <v>10961</v>
      </c>
      <c r="G135" s="6" t="s">
        <v>325</v>
      </c>
    </row>
    <row r="136" spans="2:7" x14ac:dyDescent="0.25">
      <c r="B136" s="7" t="s">
        <v>47</v>
      </c>
      <c r="C136" s="3" t="s">
        <v>151</v>
      </c>
      <c r="D136" s="4" t="s">
        <v>215</v>
      </c>
      <c r="E136" s="4">
        <v>158</v>
      </c>
      <c r="F136" s="5">
        <v>10857</v>
      </c>
      <c r="G136" s="6" t="s">
        <v>332</v>
      </c>
    </row>
    <row r="137" spans="2:7" x14ac:dyDescent="0.25">
      <c r="B137" s="2" t="s">
        <v>95</v>
      </c>
      <c r="C137" s="3" t="s">
        <v>151</v>
      </c>
      <c r="D137" s="4" t="s">
        <v>263</v>
      </c>
      <c r="E137" s="4">
        <v>143</v>
      </c>
      <c r="F137" s="5">
        <v>10450</v>
      </c>
      <c r="G137" s="6" t="s">
        <v>330</v>
      </c>
    </row>
    <row r="138" spans="2:7" x14ac:dyDescent="0.25">
      <c r="B138" s="2" t="s">
        <v>114</v>
      </c>
      <c r="C138" s="3" t="s">
        <v>162</v>
      </c>
      <c r="D138" s="4" t="s">
        <v>281</v>
      </c>
      <c r="E138" s="4">
        <v>138</v>
      </c>
      <c r="F138" s="5">
        <v>10120</v>
      </c>
      <c r="G138" s="6" t="s">
        <v>349</v>
      </c>
    </row>
    <row r="139" spans="2:7" x14ac:dyDescent="0.25">
      <c r="B139" s="2" t="s">
        <v>10</v>
      </c>
      <c r="C139" s="3" t="s">
        <v>157</v>
      </c>
      <c r="D139" s="4" t="s">
        <v>178</v>
      </c>
      <c r="E139" s="4">
        <v>134</v>
      </c>
      <c r="F139" s="5">
        <v>9790</v>
      </c>
      <c r="G139" s="6" t="s">
        <v>329</v>
      </c>
    </row>
    <row r="140" spans="2:7" x14ac:dyDescent="0.25">
      <c r="B140" s="2" t="s">
        <v>9</v>
      </c>
      <c r="C140" s="3" t="s">
        <v>151</v>
      </c>
      <c r="D140" s="4" t="s">
        <v>177</v>
      </c>
      <c r="E140" s="4">
        <v>132</v>
      </c>
      <c r="F140" s="5">
        <v>9680</v>
      </c>
      <c r="G140" s="6" t="s">
        <v>328</v>
      </c>
    </row>
    <row r="141" spans="2:7" x14ac:dyDescent="0.25">
      <c r="B141" s="7" t="s">
        <v>51</v>
      </c>
      <c r="C141" s="3" t="s">
        <v>163</v>
      </c>
      <c r="D141" s="4" t="s">
        <v>219</v>
      </c>
      <c r="E141" s="4">
        <v>128</v>
      </c>
      <c r="F141" s="5">
        <v>9350</v>
      </c>
      <c r="G141" s="6" t="s">
        <v>320</v>
      </c>
    </row>
    <row r="142" spans="2:7" x14ac:dyDescent="0.25">
      <c r="B142" s="2" t="s">
        <v>105</v>
      </c>
      <c r="C142" s="3" t="s">
        <v>154</v>
      </c>
      <c r="D142" s="4" t="s">
        <v>272</v>
      </c>
      <c r="E142" s="4">
        <v>119</v>
      </c>
      <c r="F142" s="5">
        <v>8690</v>
      </c>
      <c r="G142" s="6" t="s">
        <v>340</v>
      </c>
    </row>
    <row r="143" spans="2:7" x14ac:dyDescent="0.25">
      <c r="B143" s="2" t="s">
        <v>121</v>
      </c>
      <c r="C143" s="3" t="s">
        <v>165</v>
      </c>
      <c r="D143" s="4" t="s">
        <v>288</v>
      </c>
      <c r="E143" s="4">
        <v>95</v>
      </c>
      <c r="F143" s="5">
        <v>6930</v>
      </c>
      <c r="G143" s="6" t="s">
        <v>337</v>
      </c>
    </row>
    <row r="144" spans="2:7" x14ac:dyDescent="0.25">
      <c r="B144" s="2" t="s">
        <v>123</v>
      </c>
      <c r="C144" s="3" t="s">
        <v>158</v>
      </c>
      <c r="D144" s="4" t="s">
        <v>289</v>
      </c>
      <c r="E144" s="4">
        <v>78</v>
      </c>
      <c r="F144" s="5">
        <v>5720</v>
      </c>
      <c r="G144" s="6" t="s">
        <v>339</v>
      </c>
    </row>
    <row r="145" spans="2:7" x14ac:dyDescent="0.25">
      <c r="B145" s="2" t="s">
        <v>7</v>
      </c>
      <c r="C145" s="3" t="s">
        <v>154</v>
      </c>
      <c r="D145" s="4" t="s">
        <v>175</v>
      </c>
      <c r="E145" s="4">
        <v>72</v>
      </c>
      <c r="F145" s="5">
        <v>5280</v>
      </c>
      <c r="G145" s="6" t="s">
        <v>326</v>
      </c>
    </row>
    <row r="146" spans="2:7" x14ac:dyDescent="0.25">
      <c r="B146" s="2" t="s">
        <v>135</v>
      </c>
      <c r="C146" s="3" t="s">
        <v>153</v>
      </c>
      <c r="D146" s="4" t="s">
        <v>301</v>
      </c>
      <c r="E146" s="4">
        <v>62</v>
      </c>
      <c r="F146" s="5">
        <v>4510</v>
      </c>
      <c r="G146" s="6" t="s">
        <v>320</v>
      </c>
    </row>
    <row r="147" spans="2:7" x14ac:dyDescent="0.25">
      <c r="B147" s="2" t="s">
        <v>52</v>
      </c>
      <c r="C147" s="3" t="s">
        <v>157</v>
      </c>
      <c r="D147" s="4" t="s">
        <v>220</v>
      </c>
      <c r="E147" s="4">
        <v>48</v>
      </c>
      <c r="F147" s="5">
        <v>3520</v>
      </c>
      <c r="G147" s="6" t="s">
        <v>321</v>
      </c>
    </row>
    <row r="148" spans="2:7" x14ac:dyDescent="0.25">
      <c r="B148" s="7" t="s">
        <v>62</v>
      </c>
      <c r="C148" s="3" t="s">
        <v>153</v>
      </c>
      <c r="D148" s="4" t="s">
        <v>230</v>
      </c>
      <c r="E148" s="4">
        <v>45</v>
      </c>
      <c r="F148" s="5">
        <v>3300</v>
      </c>
      <c r="G148" s="6" t="s">
        <v>320</v>
      </c>
    </row>
    <row r="149" spans="2:7" x14ac:dyDescent="0.25">
      <c r="B149" s="2" t="s">
        <v>22</v>
      </c>
      <c r="C149" s="3" t="s">
        <v>151</v>
      </c>
      <c r="D149" s="4" t="s">
        <v>190</v>
      </c>
      <c r="E149" s="4">
        <v>35</v>
      </c>
      <c r="F149" s="5">
        <v>2530</v>
      </c>
      <c r="G149" s="6" t="s">
        <v>341</v>
      </c>
    </row>
    <row r="150" spans="2:7" x14ac:dyDescent="0.25">
      <c r="B150" s="7" t="s">
        <v>74</v>
      </c>
      <c r="C150" s="3" t="s">
        <v>151</v>
      </c>
      <c r="D150" s="4" t="s">
        <v>242</v>
      </c>
      <c r="E150" s="4">
        <v>30</v>
      </c>
      <c r="F150" s="5">
        <v>2200</v>
      </c>
      <c r="G150" s="6" t="s">
        <v>339</v>
      </c>
    </row>
    <row r="151" spans="2:7" x14ac:dyDescent="0.25">
      <c r="B151" s="2" t="s">
        <v>40</v>
      </c>
      <c r="C151" s="3" t="s">
        <v>157</v>
      </c>
      <c r="D151" s="4" t="s">
        <v>208</v>
      </c>
      <c r="E151" s="4">
        <v>21</v>
      </c>
      <c r="F151" s="5">
        <v>1540</v>
      </c>
      <c r="G151" s="6" t="s">
        <v>340</v>
      </c>
    </row>
    <row r="152" spans="2:7" x14ac:dyDescent="0.25">
      <c r="B152" s="8" t="s">
        <v>46</v>
      </c>
      <c r="C152" s="9" t="s">
        <v>155</v>
      </c>
      <c r="D152" s="10" t="s">
        <v>214</v>
      </c>
      <c r="E152" s="10">
        <v>8</v>
      </c>
      <c r="F152" s="11">
        <v>550</v>
      </c>
      <c r="G152" s="12" t="s">
        <v>331</v>
      </c>
    </row>
  </sheetData>
  <sortState xmlns:xlrd2="http://schemas.microsoft.com/office/spreadsheetml/2017/richdata2" ref="B4:G152">
    <sortCondition ref="C4:C152"/>
    <sortCondition ref="E4:E152"/>
  </sortState>
  <mergeCells count="1">
    <mergeCell ref="B2:G2"/>
  </mergeCells>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20C55-1B10-42A9-9AD4-89CF61FFCF72}">
  <dimension ref="B1:K153"/>
  <sheetViews>
    <sheetView topLeftCell="B1" workbookViewId="0">
      <selection activeCell="I17" sqref="I17:J17"/>
    </sheetView>
  </sheetViews>
  <sheetFormatPr defaultRowHeight="13.8" x14ac:dyDescent="0.25"/>
  <cols>
    <col min="1" max="1" width="8.88671875" style="1"/>
    <col min="2" max="2" width="46.77734375" style="1" bestFit="1" customWidth="1"/>
    <col min="3" max="3" width="32.109375" style="1" bestFit="1" customWidth="1"/>
    <col min="4" max="4" width="13.88671875" style="1" bestFit="1" customWidth="1"/>
    <col min="5" max="5" width="23.109375" style="1" customWidth="1"/>
    <col min="6" max="6" width="21.21875" style="1" customWidth="1"/>
    <col min="7" max="7" width="25" style="1" customWidth="1"/>
    <col min="8" max="8" width="8.88671875" style="1"/>
    <col min="9" max="9" width="23.77734375" style="1" customWidth="1"/>
    <col min="10" max="10" width="28.77734375" style="1" customWidth="1"/>
    <col min="11" max="11" width="45.5546875" style="1" customWidth="1"/>
    <col min="12" max="16384" width="8.88671875" style="1"/>
  </cols>
  <sheetData>
    <row r="1" spans="2:11" ht="22.8" x14ac:dyDescent="0.4">
      <c r="B1" s="47" t="s">
        <v>356</v>
      </c>
    </row>
    <row r="2" spans="2:11" ht="14.4" thickBot="1" x14ac:dyDescent="0.3"/>
    <row r="3" spans="2:11" ht="18" thickBot="1" x14ac:dyDescent="0.35">
      <c r="B3" s="48" t="s">
        <v>353</v>
      </c>
      <c r="C3" s="49"/>
      <c r="D3" s="49"/>
      <c r="E3" s="49"/>
      <c r="F3" s="49"/>
      <c r="G3" s="50"/>
    </row>
    <row r="4" spans="2:11" ht="27.6" x14ac:dyDescent="0.25">
      <c r="B4" s="15" t="s">
        <v>318</v>
      </c>
      <c r="C4" s="16" t="s">
        <v>149</v>
      </c>
      <c r="D4" s="16" t="s">
        <v>167</v>
      </c>
      <c r="E4" s="16" t="s">
        <v>316</v>
      </c>
      <c r="F4" s="16" t="s">
        <v>317</v>
      </c>
      <c r="G4" s="17" t="s">
        <v>315</v>
      </c>
      <c r="I4" s="53" t="s">
        <v>357</v>
      </c>
      <c r="J4" s="53"/>
      <c r="K4" s="24" t="s">
        <v>363</v>
      </c>
    </row>
    <row r="5" spans="2:11" x14ac:dyDescent="0.25">
      <c r="B5" s="2" t="s">
        <v>93</v>
      </c>
      <c r="C5" s="3" t="s">
        <v>151</v>
      </c>
      <c r="D5" s="4" t="s">
        <v>261</v>
      </c>
      <c r="E5" s="4">
        <v>1497</v>
      </c>
      <c r="F5" s="5">
        <v>92216</v>
      </c>
      <c r="G5" s="6" t="s">
        <v>328</v>
      </c>
      <c r="I5" s="51" t="b">
        <f>$C5="METALS"</f>
        <v>0</v>
      </c>
      <c r="J5" s="51"/>
      <c r="K5" s="1" t="b">
        <f>$C5="PHARMA"</f>
        <v>0</v>
      </c>
    </row>
    <row r="6" spans="2:11" x14ac:dyDescent="0.25">
      <c r="B6" s="2" t="s">
        <v>45</v>
      </c>
      <c r="C6" s="3" t="s">
        <v>151</v>
      </c>
      <c r="D6" s="4" t="s">
        <v>213</v>
      </c>
      <c r="E6" s="4">
        <v>1479</v>
      </c>
      <c r="F6" s="5">
        <v>91107</v>
      </c>
      <c r="G6" s="6" t="s">
        <v>330</v>
      </c>
      <c r="I6" s="51"/>
      <c r="J6" s="51"/>
    </row>
    <row r="7" spans="2:11" ht="27.6" x14ac:dyDescent="0.25">
      <c r="B7" s="2" t="s">
        <v>124</v>
      </c>
      <c r="C7" s="3" t="s">
        <v>155</v>
      </c>
      <c r="D7" s="4" t="s">
        <v>290</v>
      </c>
      <c r="E7" s="4">
        <v>1464</v>
      </c>
      <c r="F7" s="5">
        <v>90183</v>
      </c>
      <c r="G7" s="6" t="s">
        <v>340</v>
      </c>
      <c r="I7" s="52" t="s">
        <v>358</v>
      </c>
      <c r="J7" s="52"/>
      <c r="K7" s="24" t="s">
        <v>429</v>
      </c>
    </row>
    <row r="8" spans="2:11" x14ac:dyDescent="0.25">
      <c r="B8" s="7" t="s">
        <v>103</v>
      </c>
      <c r="C8" s="3" t="s">
        <v>154</v>
      </c>
      <c r="D8" s="4" t="s">
        <v>270</v>
      </c>
      <c r="E8" s="4">
        <v>1458</v>
      </c>
      <c r="F8" s="5">
        <v>89813</v>
      </c>
      <c r="G8" s="6" t="s">
        <v>338</v>
      </c>
      <c r="I8" s="52" t="s">
        <v>359</v>
      </c>
      <c r="J8" s="52"/>
      <c r="K8" s="22"/>
    </row>
    <row r="9" spans="2:11" x14ac:dyDescent="0.25">
      <c r="B9" s="2" t="s">
        <v>117</v>
      </c>
      <c r="C9" s="3" t="s">
        <v>151</v>
      </c>
      <c r="D9" s="4" t="s">
        <v>284</v>
      </c>
      <c r="E9" s="4">
        <v>1455</v>
      </c>
      <c r="F9" s="5">
        <v>89628</v>
      </c>
      <c r="G9" s="6" t="s">
        <v>347</v>
      </c>
      <c r="I9" s="52" t="s">
        <v>360</v>
      </c>
      <c r="J9" s="52"/>
      <c r="K9" s="23"/>
    </row>
    <row r="10" spans="2:11" x14ac:dyDescent="0.25">
      <c r="B10" s="2" t="s">
        <v>112</v>
      </c>
      <c r="C10" s="3" t="s">
        <v>156</v>
      </c>
      <c r="D10" s="4" t="s">
        <v>279</v>
      </c>
      <c r="E10" s="4">
        <v>1455</v>
      </c>
      <c r="F10" s="5">
        <v>89628</v>
      </c>
      <c r="G10" s="6" t="s">
        <v>347</v>
      </c>
      <c r="I10" s="52" t="s">
        <v>361</v>
      </c>
      <c r="J10" s="52"/>
      <c r="K10" s="22"/>
    </row>
    <row r="11" spans="2:11" x14ac:dyDescent="0.25">
      <c r="B11" s="2" t="s">
        <v>130</v>
      </c>
      <c r="C11" s="3" t="s">
        <v>151</v>
      </c>
      <c r="D11" s="4" t="s">
        <v>296</v>
      </c>
      <c r="E11" s="4">
        <v>1451</v>
      </c>
      <c r="F11" s="5">
        <v>89351</v>
      </c>
      <c r="G11" s="6" t="s">
        <v>331</v>
      </c>
      <c r="I11" s="52" t="s">
        <v>362</v>
      </c>
      <c r="J11" s="52"/>
      <c r="K11" s="23"/>
    </row>
    <row r="12" spans="2:11" x14ac:dyDescent="0.25">
      <c r="B12" s="7" t="s">
        <v>96</v>
      </c>
      <c r="C12" s="3" t="s">
        <v>151</v>
      </c>
      <c r="D12" s="4" t="s">
        <v>264</v>
      </c>
      <c r="E12" s="4">
        <v>1445</v>
      </c>
      <c r="F12" s="5">
        <v>88982</v>
      </c>
      <c r="G12" s="6" t="s">
        <v>331</v>
      </c>
      <c r="I12" s="51"/>
      <c r="J12" s="51"/>
    </row>
    <row r="13" spans="2:11" ht="13.8" customHeight="1" x14ac:dyDescent="0.25">
      <c r="B13" s="2" t="s">
        <v>54</v>
      </c>
      <c r="C13" s="3" t="s">
        <v>164</v>
      </c>
      <c r="D13" s="4" t="s">
        <v>222</v>
      </c>
      <c r="E13" s="4">
        <v>1419</v>
      </c>
      <c r="F13" s="5">
        <v>87411</v>
      </c>
      <c r="G13" s="6" t="s">
        <v>323</v>
      </c>
      <c r="I13" s="51"/>
      <c r="J13" s="51"/>
    </row>
    <row r="14" spans="2:11" x14ac:dyDescent="0.25">
      <c r="B14" s="2" t="s">
        <v>72</v>
      </c>
      <c r="C14" s="3" t="s">
        <v>155</v>
      </c>
      <c r="D14" s="4" t="s">
        <v>240</v>
      </c>
      <c r="E14" s="4">
        <v>1418</v>
      </c>
      <c r="F14" s="5">
        <v>87318</v>
      </c>
      <c r="G14" s="6" t="s">
        <v>337</v>
      </c>
      <c r="I14" s="51"/>
      <c r="J14" s="51"/>
    </row>
    <row r="15" spans="2:11" x14ac:dyDescent="0.25">
      <c r="B15" s="7" t="s">
        <v>82</v>
      </c>
      <c r="C15" s="3" t="s">
        <v>155</v>
      </c>
      <c r="D15" s="4" t="s">
        <v>250</v>
      </c>
      <c r="E15" s="4">
        <v>1412</v>
      </c>
      <c r="F15" s="5">
        <v>86949</v>
      </c>
      <c r="G15" s="6" t="s">
        <v>338</v>
      </c>
      <c r="I15" s="51"/>
      <c r="J15" s="51"/>
    </row>
    <row r="16" spans="2:11" x14ac:dyDescent="0.25">
      <c r="B16" s="2" t="s">
        <v>44</v>
      </c>
      <c r="C16" s="3" t="s">
        <v>153</v>
      </c>
      <c r="D16" s="4" t="s">
        <v>212</v>
      </c>
      <c r="E16" s="4">
        <v>1412</v>
      </c>
      <c r="F16" s="5">
        <v>86949</v>
      </c>
      <c r="G16" s="6" t="s">
        <v>352</v>
      </c>
      <c r="I16" s="51"/>
      <c r="J16" s="51"/>
    </row>
    <row r="17" spans="2:10" x14ac:dyDescent="0.25">
      <c r="B17" s="2" t="s">
        <v>99</v>
      </c>
      <c r="C17" s="3" t="s">
        <v>151</v>
      </c>
      <c r="D17" s="4" t="s">
        <v>267</v>
      </c>
      <c r="E17" s="4">
        <v>1395</v>
      </c>
      <c r="F17" s="5">
        <v>85932</v>
      </c>
      <c r="G17" s="6" t="s">
        <v>334</v>
      </c>
      <c r="I17" s="51"/>
      <c r="J17" s="51"/>
    </row>
    <row r="18" spans="2:10" x14ac:dyDescent="0.25">
      <c r="B18" s="2" t="s">
        <v>100</v>
      </c>
      <c r="C18" s="3" t="s">
        <v>157</v>
      </c>
      <c r="D18" s="4" t="s">
        <v>270</v>
      </c>
      <c r="E18" s="4">
        <v>1394</v>
      </c>
      <c r="F18" s="5">
        <v>85840</v>
      </c>
      <c r="G18" s="6" t="s">
        <v>335</v>
      </c>
      <c r="I18" s="51"/>
      <c r="J18" s="51"/>
    </row>
    <row r="19" spans="2:10" x14ac:dyDescent="0.25">
      <c r="B19" s="2" t="s">
        <v>92</v>
      </c>
      <c r="C19" s="3" t="s">
        <v>162</v>
      </c>
      <c r="D19" s="4" t="s">
        <v>260</v>
      </c>
      <c r="E19" s="4">
        <v>1391</v>
      </c>
      <c r="F19" s="5">
        <v>85655</v>
      </c>
      <c r="G19" s="6" t="s">
        <v>327</v>
      </c>
      <c r="I19" s="51"/>
      <c r="J19" s="51"/>
    </row>
    <row r="20" spans="2:10" x14ac:dyDescent="0.25">
      <c r="B20" s="2" t="s">
        <v>55</v>
      </c>
      <c r="C20" s="3" t="s">
        <v>157</v>
      </c>
      <c r="D20" s="4" t="s">
        <v>223</v>
      </c>
      <c r="E20" s="4">
        <v>1388</v>
      </c>
      <c r="F20" s="5">
        <v>85470</v>
      </c>
      <c r="G20" s="6" t="s">
        <v>324</v>
      </c>
      <c r="I20" s="51"/>
      <c r="J20" s="51"/>
    </row>
    <row r="21" spans="2:10" x14ac:dyDescent="0.25">
      <c r="B21" s="2" t="s">
        <v>32</v>
      </c>
      <c r="C21" s="3" t="s">
        <v>157</v>
      </c>
      <c r="D21" s="4" t="s">
        <v>200</v>
      </c>
      <c r="E21" s="4">
        <v>1374</v>
      </c>
      <c r="F21" s="5">
        <v>84639</v>
      </c>
      <c r="G21" s="6" t="s">
        <v>351</v>
      </c>
      <c r="I21" s="51"/>
      <c r="J21" s="51"/>
    </row>
    <row r="22" spans="2:10" x14ac:dyDescent="0.25">
      <c r="B22" s="7" t="s">
        <v>142</v>
      </c>
      <c r="C22" s="3" t="s">
        <v>165</v>
      </c>
      <c r="D22" s="4" t="s">
        <v>308</v>
      </c>
      <c r="E22" s="4">
        <v>1368</v>
      </c>
      <c r="F22" s="5">
        <v>84269</v>
      </c>
      <c r="G22" s="6" t="s">
        <v>332</v>
      </c>
      <c r="I22" s="51"/>
      <c r="J22" s="51"/>
    </row>
    <row r="23" spans="2:10" x14ac:dyDescent="0.25">
      <c r="B23" s="7" t="s">
        <v>71</v>
      </c>
      <c r="C23" s="3" t="s">
        <v>157</v>
      </c>
      <c r="D23" s="4" t="s">
        <v>239</v>
      </c>
      <c r="E23" s="4">
        <v>1361</v>
      </c>
      <c r="F23" s="5">
        <v>83807</v>
      </c>
      <c r="G23" s="6" t="s">
        <v>336</v>
      </c>
      <c r="I23" s="51"/>
      <c r="J23" s="51"/>
    </row>
    <row r="24" spans="2:10" x14ac:dyDescent="0.25">
      <c r="B24" s="7" t="s">
        <v>122</v>
      </c>
      <c r="C24" s="3" t="s">
        <v>153</v>
      </c>
      <c r="D24" s="4" t="s">
        <v>270</v>
      </c>
      <c r="E24" s="4">
        <v>1361</v>
      </c>
      <c r="F24" s="5">
        <v>83807</v>
      </c>
      <c r="G24" s="6" t="s">
        <v>338</v>
      </c>
      <c r="I24" s="51"/>
      <c r="J24" s="51"/>
    </row>
    <row r="25" spans="2:10" x14ac:dyDescent="0.25">
      <c r="B25" s="2" t="s">
        <v>30</v>
      </c>
      <c r="C25" s="3" t="s">
        <v>151</v>
      </c>
      <c r="D25" s="4" t="s">
        <v>198</v>
      </c>
      <c r="E25" s="4">
        <v>1337</v>
      </c>
      <c r="F25" s="5">
        <v>82329</v>
      </c>
      <c r="G25" s="6" t="s">
        <v>349</v>
      </c>
      <c r="I25" s="51"/>
      <c r="J25" s="51"/>
    </row>
    <row r="26" spans="2:10" x14ac:dyDescent="0.25">
      <c r="B26" s="7" t="s">
        <v>111</v>
      </c>
      <c r="C26" s="3" t="s">
        <v>153</v>
      </c>
      <c r="D26" s="4" t="s">
        <v>278</v>
      </c>
      <c r="E26" s="4">
        <v>1335</v>
      </c>
      <c r="F26" s="5">
        <v>82236</v>
      </c>
      <c r="G26" s="6" t="s">
        <v>346</v>
      </c>
    </row>
    <row r="27" spans="2:10" x14ac:dyDescent="0.25">
      <c r="B27" s="2" t="s">
        <v>69</v>
      </c>
      <c r="C27" s="3" t="s">
        <v>151</v>
      </c>
      <c r="D27" s="4" t="s">
        <v>237</v>
      </c>
      <c r="E27" s="4">
        <v>1329</v>
      </c>
      <c r="F27" s="5">
        <v>81867</v>
      </c>
      <c r="G27" s="6" t="s">
        <v>334</v>
      </c>
    </row>
    <row r="28" spans="2:10" x14ac:dyDescent="0.25">
      <c r="B28" s="2" t="s">
        <v>125</v>
      </c>
      <c r="C28" s="3" t="s">
        <v>151</v>
      </c>
      <c r="D28" s="4" t="s">
        <v>291</v>
      </c>
      <c r="E28" s="4">
        <v>1325</v>
      </c>
      <c r="F28" s="5">
        <v>81590</v>
      </c>
      <c r="G28" s="6" t="s">
        <v>334</v>
      </c>
    </row>
    <row r="29" spans="2:10" x14ac:dyDescent="0.25">
      <c r="B29" s="2" t="s">
        <v>102</v>
      </c>
      <c r="C29" s="3" t="s">
        <v>151</v>
      </c>
      <c r="D29" s="4" t="s">
        <v>269</v>
      </c>
      <c r="E29" s="4">
        <v>1310</v>
      </c>
      <c r="F29" s="5">
        <v>80666</v>
      </c>
      <c r="G29" s="6" t="s">
        <v>337</v>
      </c>
    </row>
    <row r="30" spans="2:10" x14ac:dyDescent="0.25">
      <c r="B30" s="2" t="s">
        <v>108</v>
      </c>
      <c r="C30" s="3" t="s">
        <v>163</v>
      </c>
      <c r="D30" s="4" t="s">
        <v>275</v>
      </c>
      <c r="E30" s="4">
        <v>1304</v>
      </c>
      <c r="F30" s="5">
        <v>80296</v>
      </c>
      <c r="G30" s="6" t="s">
        <v>343</v>
      </c>
    </row>
    <row r="31" spans="2:10" x14ac:dyDescent="0.25">
      <c r="B31" s="2" t="s">
        <v>132</v>
      </c>
      <c r="C31" s="3" t="s">
        <v>158</v>
      </c>
      <c r="D31" s="4" t="s">
        <v>298</v>
      </c>
      <c r="E31" s="4">
        <v>1286</v>
      </c>
      <c r="F31" s="5">
        <v>79187</v>
      </c>
      <c r="G31" s="6" t="s">
        <v>333</v>
      </c>
    </row>
    <row r="32" spans="2:10" x14ac:dyDescent="0.25">
      <c r="B32" s="2" t="s">
        <v>57</v>
      </c>
      <c r="C32" s="3" t="s">
        <v>165</v>
      </c>
      <c r="D32" s="4" t="s">
        <v>225</v>
      </c>
      <c r="E32" s="4">
        <v>1271</v>
      </c>
      <c r="F32" s="5">
        <v>78263</v>
      </c>
      <c r="G32" s="6" t="s">
        <v>326</v>
      </c>
    </row>
    <row r="33" spans="2:7" x14ac:dyDescent="0.25">
      <c r="B33" s="7" t="s">
        <v>115</v>
      </c>
      <c r="C33" s="3" t="s">
        <v>157</v>
      </c>
      <c r="D33" s="4" t="s">
        <v>282</v>
      </c>
      <c r="E33" s="4">
        <v>1269</v>
      </c>
      <c r="F33" s="5">
        <v>78171</v>
      </c>
      <c r="G33" s="6" t="s">
        <v>350</v>
      </c>
    </row>
    <row r="34" spans="2:7" x14ac:dyDescent="0.25">
      <c r="B34" s="2" t="s">
        <v>87</v>
      </c>
      <c r="C34" s="3" t="s">
        <v>157</v>
      </c>
      <c r="D34" s="4" t="s">
        <v>255</v>
      </c>
      <c r="E34" s="4">
        <v>1251</v>
      </c>
      <c r="F34" s="5">
        <v>77062</v>
      </c>
      <c r="G34" s="6" t="s">
        <v>322</v>
      </c>
    </row>
    <row r="35" spans="2:7" x14ac:dyDescent="0.25">
      <c r="B35" s="7" t="s">
        <v>3</v>
      </c>
      <c r="C35" s="3" t="s">
        <v>153</v>
      </c>
      <c r="D35" s="4" t="s">
        <v>171</v>
      </c>
      <c r="E35" s="4">
        <v>1242</v>
      </c>
      <c r="F35" s="5">
        <v>76508</v>
      </c>
      <c r="G35" s="6" t="s">
        <v>322</v>
      </c>
    </row>
    <row r="36" spans="2:7" x14ac:dyDescent="0.25">
      <c r="B36" s="7" t="s">
        <v>109</v>
      </c>
      <c r="C36" s="3" t="s">
        <v>163</v>
      </c>
      <c r="D36" s="4" t="s">
        <v>276</v>
      </c>
      <c r="E36" s="4">
        <v>1239</v>
      </c>
      <c r="F36" s="5">
        <v>76323</v>
      </c>
      <c r="G36" s="6" t="s">
        <v>344</v>
      </c>
    </row>
    <row r="37" spans="2:7" x14ac:dyDescent="0.25">
      <c r="B37" s="2" t="s">
        <v>5</v>
      </c>
      <c r="C37" s="3" t="s">
        <v>155</v>
      </c>
      <c r="D37" s="4" t="s">
        <v>173</v>
      </c>
      <c r="E37" s="4">
        <v>1220</v>
      </c>
      <c r="F37" s="5">
        <v>75122</v>
      </c>
      <c r="G37" s="6" t="s">
        <v>324</v>
      </c>
    </row>
    <row r="38" spans="2:7" x14ac:dyDescent="0.25">
      <c r="B38" s="2" t="s">
        <v>4</v>
      </c>
      <c r="C38" s="3" t="s">
        <v>154</v>
      </c>
      <c r="D38" s="4" t="s">
        <v>172</v>
      </c>
      <c r="E38" s="4">
        <v>1220</v>
      </c>
      <c r="F38" s="5">
        <v>75122</v>
      </c>
      <c r="G38" s="6" t="s">
        <v>323</v>
      </c>
    </row>
    <row r="39" spans="2:7" x14ac:dyDescent="0.25">
      <c r="B39" s="2" t="s">
        <v>126</v>
      </c>
      <c r="C39" s="3" t="s">
        <v>158</v>
      </c>
      <c r="D39" s="4" t="s">
        <v>292</v>
      </c>
      <c r="E39" s="4">
        <v>1217</v>
      </c>
      <c r="F39" s="5">
        <v>74937</v>
      </c>
      <c r="G39" s="6" t="s">
        <v>350</v>
      </c>
    </row>
    <row r="40" spans="2:7" x14ac:dyDescent="0.25">
      <c r="B40" s="2" t="s">
        <v>113</v>
      </c>
      <c r="C40" s="3" t="s">
        <v>162</v>
      </c>
      <c r="D40" s="4" t="s">
        <v>280</v>
      </c>
      <c r="E40" s="4">
        <v>1205</v>
      </c>
      <c r="F40" s="5">
        <v>74198</v>
      </c>
      <c r="G40" s="6" t="s">
        <v>348</v>
      </c>
    </row>
    <row r="41" spans="2:7" x14ac:dyDescent="0.25">
      <c r="B41" s="2" t="s">
        <v>107</v>
      </c>
      <c r="C41" s="3" t="s">
        <v>151</v>
      </c>
      <c r="D41" s="4" t="s">
        <v>274</v>
      </c>
      <c r="E41" s="4">
        <v>1191</v>
      </c>
      <c r="F41" s="5">
        <v>73366</v>
      </c>
      <c r="G41" s="6" t="s">
        <v>342</v>
      </c>
    </row>
    <row r="42" spans="2:7" x14ac:dyDescent="0.25">
      <c r="B42" s="2" t="s">
        <v>119</v>
      </c>
      <c r="C42" s="3" t="s">
        <v>151</v>
      </c>
      <c r="D42" s="4" t="s">
        <v>286</v>
      </c>
      <c r="E42" s="4">
        <v>1191</v>
      </c>
      <c r="F42" s="5">
        <v>73366</v>
      </c>
      <c r="G42" s="6" t="s">
        <v>335</v>
      </c>
    </row>
    <row r="43" spans="2:7" x14ac:dyDescent="0.25">
      <c r="B43" s="2" t="s">
        <v>11</v>
      </c>
      <c r="C43" s="3" t="s">
        <v>153</v>
      </c>
      <c r="D43" s="4" t="s">
        <v>179</v>
      </c>
      <c r="E43" s="4">
        <v>1185</v>
      </c>
      <c r="F43" s="5">
        <v>72996</v>
      </c>
      <c r="G43" s="6" t="s">
        <v>330</v>
      </c>
    </row>
    <row r="44" spans="2:7" x14ac:dyDescent="0.25">
      <c r="B44" s="2" t="s">
        <v>19</v>
      </c>
      <c r="C44" s="3" t="s">
        <v>157</v>
      </c>
      <c r="D44" s="4" t="s">
        <v>187</v>
      </c>
      <c r="E44" s="4">
        <v>1182</v>
      </c>
      <c r="F44" s="5">
        <v>72812</v>
      </c>
      <c r="G44" s="6" t="s">
        <v>338</v>
      </c>
    </row>
    <row r="45" spans="2:7" x14ac:dyDescent="0.25">
      <c r="B45" s="2" t="s">
        <v>27</v>
      </c>
      <c r="C45" s="3" t="s">
        <v>158</v>
      </c>
      <c r="D45" s="4" t="s">
        <v>195</v>
      </c>
      <c r="E45" s="4">
        <v>1178</v>
      </c>
      <c r="F45" s="5">
        <v>72534</v>
      </c>
      <c r="G45" s="6" t="s">
        <v>346</v>
      </c>
    </row>
    <row r="46" spans="2:7" x14ac:dyDescent="0.25">
      <c r="B46" s="7" t="s">
        <v>53</v>
      </c>
      <c r="C46" s="3" t="s">
        <v>154</v>
      </c>
      <c r="D46" s="4" t="s">
        <v>221</v>
      </c>
      <c r="E46" s="4">
        <v>1176</v>
      </c>
      <c r="F46" s="5">
        <v>72442</v>
      </c>
      <c r="G46" s="6" t="s">
        <v>322</v>
      </c>
    </row>
    <row r="47" spans="2:7" x14ac:dyDescent="0.25">
      <c r="B47" s="2" t="s">
        <v>20</v>
      </c>
      <c r="C47" s="3" t="s">
        <v>153</v>
      </c>
      <c r="D47" s="4" t="s">
        <v>188</v>
      </c>
      <c r="E47" s="4">
        <v>1118</v>
      </c>
      <c r="F47" s="5">
        <v>72116</v>
      </c>
      <c r="G47" s="6" t="s">
        <v>339</v>
      </c>
    </row>
    <row r="48" spans="2:7" x14ac:dyDescent="0.25">
      <c r="B48" s="2" t="s">
        <v>106</v>
      </c>
      <c r="C48" s="3" t="s">
        <v>155</v>
      </c>
      <c r="D48" s="4" t="s">
        <v>273</v>
      </c>
      <c r="E48" s="4">
        <v>1169</v>
      </c>
      <c r="F48" s="5">
        <v>71980</v>
      </c>
      <c r="G48" s="6" t="s">
        <v>341</v>
      </c>
    </row>
    <row r="49" spans="2:7" x14ac:dyDescent="0.25">
      <c r="B49" s="2" t="s">
        <v>143</v>
      </c>
      <c r="C49" s="3" t="s">
        <v>155</v>
      </c>
      <c r="D49" s="4" t="s">
        <v>309</v>
      </c>
      <c r="E49" s="4">
        <v>1112</v>
      </c>
      <c r="F49" s="5">
        <v>71729</v>
      </c>
      <c r="G49" s="6" t="s">
        <v>333</v>
      </c>
    </row>
    <row r="50" spans="2:7" x14ac:dyDescent="0.25">
      <c r="B50" s="7" t="s">
        <v>2</v>
      </c>
      <c r="C50" s="3" t="s">
        <v>152</v>
      </c>
      <c r="D50" s="4" t="s">
        <v>170</v>
      </c>
      <c r="E50" s="4">
        <v>1151</v>
      </c>
      <c r="F50" s="5">
        <v>70871</v>
      </c>
      <c r="G50" s="6" t="s">
        <v>321</v>
      </c>
    </row>
    <row r="51" spans="2:7" x14ac:dyDescent="0.25">
      <c r="B51" s="2" t="s">
        <v>110</v>
      </c>
      <c r="C51" s="3" t="s">
        <v>154</v>
      </c>
      <c r="D51" s="4" t="s">
        <v>277</v>
      </c>
      <c r="E51" s="4">
        <v>1136</v>
      </c>
      <c r="F51" s="5">
        <v>69947</v>
      </c>
      <c r="G51" s="6" t="s">
        <v>345</v>
      </c>
    </row>
    <row r="52" spans="2:7" x14ac:dyDescent="0.25">
      <c r="B52" s="7" t="s">
        <v>61</v>
      </c>
      <c r="C52" s="3" t="s">
        <v>159</v>
      </c>
      <c r="D52" s="4" t="s">
        <v>229</v>
      </c>
      <c r="E52" s="4">
        <v>1083</v>
      </c>
      <c r="F52" s="5">
        <v>69890</v>
      </c>
      <c r="G52" s="6" t="s">
        <v>319</v>
      </c>
    </row>
    <row r="53" spans="2:7" x14ac:dyDescent="0.25">
      <c r="B53" s="7" t="s">
        <v>58</v>
      </c>
      <c r="C53" s="3" t="s">
        <v>157</v>
      </c>
      <c r="D53" s="4" t="s">
        <v>226</v>
      </c>
      <c r="E53" s="4">
        <v>1080</v>
      </c>
      <c r="F53" s="5">
        <v>69696</v>
      </c>
      <c r="G53" s="6" t="s">
        <v>332</v>
      </c>
    </row>
    <row r="54" spans="2:7" x14ac:dyDescent="0.25">
      <c r="B54" s="2" t="s">
        <v>104</v>
      </c>
      <c r="C54" s="3" t="s">
        <v>155</v>
      </c>
      <c r="D54" s="4" t="s">
        <v>271</v>
      </c>
      <c r="E54" s="4">
        <v>1079</v>
      </c>
      <c r="F54" s="5">
        <v>69600</v>
      </c>
      <c r="G54" s="6" t="s">
        <v>339</v>
      </c>
    </row>
    <row r="55" spans="2:7" x14ac:dyDescent="0.25">
      <c r="B55" s="2" t="s">
        <v>91</v>
      </c>
      <c r="C55" s="3" t="s">
        <v>157</v>
      </c>
      <c r="D55" s="4" t="s">
        <v>259</v>
      </c>
      <c r="E55" s="4">
        <v>1034</v>
      </c>
      <c r="F55" s="5">
        <v>66696</v>
      </c>
      <c r="G55" s="6" t="s">
        <v>326</v>
      </c>
    </row>
    <row r="56" spans="2:7" x14ac:dyDescent="0.25">
      <c r="B56" s="2" t="s">
        <v>13</v>
      </c>
      <c r="C56" s="3" t="s">
        <v>153</v>
      </c>
      <c r="D56" s="4" t="s">
        <v>181</v>
      </c>
      <c r="E56" s="4">
        <v>1034</v>
      </c>
      <c r="F56" s="5">
        <v>66696</v>
      </c>
      <c r="G56" s="6" t="s">
        <v>332</v>
      </c>
    </row>
    <row r="57" spans="2:7" x14ac:dyDescent="0.25">
      <c r="B57" s="7" t="s">
        <v>68</v>
      </c>
      <c r="C57" s="3" t="s">
        <v>158</v>
      </c>
      <c r="D57" s="4" t="s">
        <v>236</v>
      </c>
      <c r="E57" s="4">
        <v>998</v>
      </c>
      <c r="F57" s="5">
        <v>64372</v>
      </c>
      <c r="G57" s="6" t="s">
        <v>336</v>
      </c>
    </row>
    <row r="58" spans="2:7" x14ac:dyDescent="0.25">
      <c r="B58" s="7" t="s">
        <v>146</v>
      </c>
      <c r="C58" s="3" t="s">
        <v>164</v>
      </c>
      <c r="D58" s="4" t="s">
        <v>312</v>
      </c>
      <c r="E58" s="4">
        <v>993</v>
      </c>
      <c r="F58" s="5">
        <v>64082</v>
      </c>
      <c r="G58" s="6" t="s">
        <v>320</v>
      </c>
    </row>
    <row r="59" spans="2:7" x14ac:dyDescent="0.25">
      <c r="B59" s="2" t="s">
        <v>39</v>
      </c>
      <c r="C59" s="3" t="s">
        <v>153</v>
      </c>
      <c r="D59" s="4" t="s">
        <v>207</v>
      </c>
      <c r="E59" s="4">
        <v>990</v>
      </c>
      <c r="F59" s="5">
        <v>63888</v>
      </c>
      <c r="G59" s="6" t="s">
        <v>339</v>
      </c>
    </row>
    <row r="60" spans="2:7" x14ac:dyDescent="0.25">
      <c r="B60" s="7" t="s">
        <v>18</v>
      </c>
      <c r="C60" s="3" t="s">
        <v>158</v>
      </c>
      <c r="D60" s="4" t="s">
        <v>186</v>
      </c>
      <c r="E60" s="4">
        <v>977</v>
      </c>
      <c r="F60" s="5">
        <v>63017</v>
      </c>
      <c r="G60" s="6" t="s">
        <v>337</v>
      </c>
    </row>
    <row r="61" spans="2:7" x14ac:dyDescent="0.25">
      <c r="B61" s="7" t="s">
        <v>16</v>
      </c>
      <c r="C61" s="3" t="s">
        <v>159</v>
      </c>
      <c r="D61" s="4" t="s">
        <v>184</v>
      </c>
      <c r="E61" s="4">
        <v>968</v>
      </c>
      <c r="F61" s="5">
        <v>62436</v>
      </c>
      <c r="G61" s="6" t="s">
        <v>335</v>
      </c>
    </row>
    <row r="62" spans="2:7" x14ac:dyDescent="0.25">
      <c r="B62" s="2" t="s">
        <v>21</v>
      </c>
      <c r="C62" s="3" t="s">
        <v>157</v>
      </c>
      <c r="D62" s="4" t="s">
        <v>189</v>
      </c>
      <c r="E62" s="4">
        <v>965</v>
      </c>
      <c r="F62" s="5">
        <v>62243</v>
      </c>
      <c r="G62" s="6" t="s">
        <v>340</v>
      </c>
    </row>
    <row r="63" spans="2:7" x14ac:dyDescent="0.25">
      <c r="B63" s="2" t="s">
        <v>37</v>
      </c>
      <c r="C63" s="3" t="s">
        <v>161</v>
      </c>
      <c r="D63" s="4" t="s">
        <v>205</v>
      </c>
      <c r="E63" s="4">
        <v>965</v>
      </c>
      <c r="F63" s="5">
        <v>62243</v>
      </c>
      <c r="G63" s="6" t="s">
        <v>337</v>
      </c>
    </row>
    <row r="64" spans="2:7" x14ac:dyDescent="0.25">
      <c r="B64" s="2" t="s">
        <v>33</v>
      </c>
      <c r="C64" s="3" t="s">
        <v>160</v>
      </c>
      <c r="D64" s="4" t="s">
        <v>201</v>
      </c>
      <c r="E64" s="4">
        <v>956</v>
      </c>
      <c r="F64" s="5">
        <v>61662</v>
      </c>
      <c r="G64" s="6" t="s">
        <v>352</v>
      </c>
    </row>
    <row r="65" spans="2:7" x14ac:dyDescent="0.25">
      <c r="B65" s="2" t="s">
        <v>50</v>
      </c>
      <c r="C65" s="3" t="s">
        <v>162</v>
      </c>
      <c r="D65" s="4" t="s">
        <v>218</v>
      </c>
      <c r="E65" s="4">
        <v>954</v>
      </c>
      <c r="F65" s="5">
        <v>61565</v>
      </c>
      <c r="G65" s="6" t="s">
        <v>319</v>
      </c>
    </row>
    <row r="66" spans="2:7" x14ac:dyDescent="0.25">
      <c r="B66" s="2" t="s">
        <v>137</v>
      </c>
      <c r="C66" s="3" t="s">
        <v>156</v>
      </c>
      <c r="D66" s="4" t="s">
        <v>303</v>
      </c>
      <c r="E66" s="4">
        <v>950</v>
      </c>
      <c r="F66" s="5">
        <v>61275</v>
      </c>
      <c r="G66" s="6" t="s">
        <v>322</v>
      </c>
    </row>
    <row r="67" spans="2:7" x14ac:dyDescent="0.25">
      <c r="B67" s="2" t="s">
        <v>36</v>
      </c>
      <c r="C67" s="3" t="s">
        <v>155</v>
      </c>
      <c r="D67" s="4" t="s">
        <v>204</v>
      </c>
      <c r="E67" s="4">
        <v>933</v>
      </c>
      <c r="F67" s="5">
        <v>60210</v>
      </c>
      <c r="G67" s="6" t="s">
        <v>336</v>
      </c>
    </row>
    <row r="68" spans="2:7" x14ac:dyDescent="0.25">
      <c r="B68" s="2" t="s">
        <v>118</v>
      </c>
      <c r="C68" s="3" t="s">
        <v>163</v>
      </c>
      <c r="D68" s="4" t="s">
        <v>285</v>
      </c>
      <c r="E68" s="4">
        <v>927</v>
      </c>
      <c r="F68" s="5">
        <v>59823</v>
      </c>
      <c r="G68" s="6" t="s">
        <v>334</v>
      </c>
    </row>
    <row r="69" spans="2:7" x14ac:dyDescent="0.25">
      <c r="B69" s="2" t="s">
        <v>63</v>
      </c>
      <c r="C69" s="3" t="s">
        <v>151</v>
      </c>
      <c r="D69" s="4" t="s">
        <v>231</v>
      </c>
      <c r="E69" s="4">
        <v>914</v>
      </c>
      <c r="F69" s="5">
        <v>58952</v>
      </c>
      <c r="G69" s="6" t="s">
        <v>321</v>
      </c>
    </row>
    <row r="70" spans="2:7" x14ac:dyDescent="0.25">
      <c r="B70" s="7" t="s">
        <v>78</v>
      </c>
      <c r="C70" s="3" t="s">
        <v>157</v>
      </c>
      <c r="D70" s="4" t="s">
        <v>246</v>
      </c>
      <c r="E70" s="4">
        <v>906</v>
      </c>
      <c r="F70" s="5">
        <v>58468</v>
      </c>
      <c r="G70" s="6" t="s">
        <v>334</v>
      </c>
    </row>
    <row r="71" spans="2:7" x14ac:dyDescent="0.25">
      <c r="B71" s="7" t="s">
        <v>29</v>
      </c>
      <c r="C71" s="3" t="s">
        <v>151</v>
      </c>
      <c r="D71" s="4" t="s">
        <v>197</v>
      </c>
      <c r="E71" s="4">
        <v>902</v>
      </c>
      <c r="F71" s="5">
        <v>58177</v>
      </c>
      <c r="G71" s="6" t="s">
        <v>348</v>
      </c>
    </row>
    <row r="72" spans="2:7" x14ac:dyDescent="0.25">
      <c r="B72" s="7" t="s">
        <v>6</v>
      </c>
      <c r="C72" s="3" t="s">
        <v>156</v>
      </c>
      <c r="D72" s="4" t="s">
        <v>174</v>
      </c>
      <c r="E72" s="4">
        <v>887</v>
      </c>
      <c r="F72" s="5">
        <v>57209</v>
      </c>
      <c r="G72" s="6" t="s">
        <v>325</v>
      </c>
    </row>
    <row r="73" spans="2:7" x14ac:dyDescent="0.25">
      <c r="B73" s="7" t="s">
        <v>35</v>
      </c>
      <c r="C73" s="3" t="s">
        <v>160</v>
      </c>
      <c r="D73" s="4" t="s">
        <v>203</v>
      </c>
      <c r="E73" s="4">
        <v>875</v>
      </c>
      <c r="F73" s="5">
        <v>56435</v>
      </c>
      <c r="G73" s="6" t="s">
        <v>335</v>
      </c>
    </row>
    <row r="74" spans="2:7" x14ac:dyDescent="0.25">
      <c r="B74" s="7" t="s">
        <v>64</v>
      </c>
      <c r="C74" s="3" t="s">
        <v>158</v>
      </c>
      <c r="D74" s="4" t="s">
        <v>232</v>
      </c>
      <c r="E74" s="4">
        <v>863</v>
      </c>
      <c r="F74" s="5">
        <v>55660</v>
      </c>
      <c r="G74" s="6" t="s">
        <v>351</v>
      </c>
    </row>
    <row r="75" spans="2:7" x14ac:dyDescent="0.25">
      <c r="B75" s="7" t="s">
        <v>131</v>
      </c>
      <c r="C75" s="3" t="s">
        <v>163</v>
      </c>
      <c r="D75" s="4" t="s">
        <v>297</v>
      </c>
      <c r="E75" s="4">
        <v>846</v>
      </c>
      <c r="F75" s="5">
        <v>54596</v>
      </c>
      <c r="G75" s="6" t="s">
        <v>332</v>
      </c>
    </row>
    <row r="76" spans="2:7" x14ac:dyDescent="0.25">
      <c r="B76" s="2" t="s">
        <v>136</v>
      </c>
      <c r="C76" s="3" t="s">
        <v>162</v>
      </c>
      <c r="D76" s="4" t="s">
        <v>302</v>
      </c>
      <c r="E76" s="4">
        <v>830</v>
      </c>
      <c r="F76" s="5">
        <v>53531</v>
      </c>
      <c r="G76" s="6" t="s">
        <v>321</v>
      </c>
    </row>
    <row r="77" spans="2:7" x14ac:dyDescent="0.25">
      <c r="B77" s="2" t="s">
        <v>56</v>
      </c>
      <c r="C77" s="3" t="s">
        <v>160</v>
      </c>
      <c r="D77" s="4" t="s">
        <v>224</v>
      </c>
      <c r="E77" s="4">
        <v>819</v>
      </c>
      <c r="F77" s="5">
        <v>52853</v>
      </c>
      <c r="G77" s="6" t="s">
        <v>325</v>
      </c>
    </row>
    <row r="78" spans="2:7" x14ac:dyDescent="0.25">
      <c r="B78" s="2" t="s">
        <v>145</v>
      </c>
      <c r="C78" s="3" t="s">
        <v>163</v>
      </c>
      <c r="D78" s="4" t="s">
        <v>311</v>
      </c>
      <c r="E78" s="4">
        <v>818</v>
      </c>
      <c r="F78" s="5">
        <v>52756</v>
      </c>
      <c r="G78" s="6" t="s">
        <v>319</v>
      </c>
    </row>
    <row r="79" spans="2:7" x14ac:dyDescent="0.25">
      <c r="B79" s="2" t="s">
        <v>43</v>
      </c>
      <c r="C79" s="3" t="s">
        <v>156</v>
      </c>
      <c r="D79" s="4" t="s">
        <v>211</v>
      </c>
      <c r="E79" s="4">
        <v>804</v>
      </c>
      <c r="F79" s="5">
        <v>51885</v>
      </c>
      <c r="G79" s="6" t="s">
        <v>351</v>
      </c>
    </row>
    <row r="80" spans="2:7" x14ac:dyDescent="0.25">
      <c r="B80" s="7" t="s">
        <v>59</v>
      </c>
      <c r="C80" s="3" t="s">
        <v>150</v>
      </c>
      <c r="D80" s="4" t="s">
        <v>227</v>
      </c>
      <c r="E80" s="4">
        <v>744</v>
      </c>
      <c r="F80" s="5">
        <v>51287</v>
      </c>
      <c r="G80" s="6" t="s">
        <v>333</v>
      </c>
    </row>
    <row r="81" spans="2:7" x14ac:dyDescent="0.25">
      <c r="B81" s="2" t="s">
        <v>101</v>
      </c>
      <c r="C81" s="3" t="s">
        <v>151</v>
      </c>
      <c r="D81" s="4" t="s">
        <v>268</v>
      </c>
      <c r="E81" s="4">
        <v>741</v>
      </c>
      <c r="F81" s="5">
        <v>51080</v>
      </c>
      <c r="G81" s="6" t="s">
        <v>336</v>
      </c>
    </row>
    <row r="82" spans="2:7" x14ac:dyDescent="0.25">
      <c r="B82" s="2" t="s">
        <v>129</v>
      </c>
      <c r="C82" s="3" t="s">
        <v>158</v>
      </c>
      <c r="D82" s="4" t="s">
        <v>295</v>
      </c>
      <c r="E82" s="4">
        <v>783</v>
      </c>
      <c r="F82" s="5">
        <v>50530</v>
      </c>
      <c r="G82" s="6" t="s">
        <v>330</v>
      </c>
    </row>
    <row r="83" spans="2:7" x14ac:dyDescent="0.25">
      <c r="B83" s="2" t="s">
        <v>34</v>
      </c>
      <c r="C83" s="3" t="s">
        <v>160</v>
      </c>
      <c r="D83" s="4" t="s">
        <v>202</v>
      </c>
      <c r="E83" s="4">
        <v>729</v>
      </c>
      <c r="F83" s="5">
        <v>50253</v>
      </c>
      <c r="G83" s="6" t="s">
        <v>334</v>
      </c>
    </row>
    <row r="84" spans="2:7" x14ac:dyDescent="0.25">
      <c r="B84" s="7" t="s">
        <v>31</v>
      </c>
      <c r="C84" s="3" t="s">
        <v>157</v>
      </c>
      <c r="D84" s="4" t="s">
        <v>199</v>
      </c>
      <c r="E84" s="4">
        <v>716</v>
      </c>
      <c r="F84" s="5">
        <v>49322</v>
      </c>
      <c r="G84" s="6" t="s">
        <v>350</v>
      </c>
    </row>
    <row r="85" spans="2:7" x14ac:dyDescent="0.25">
      <c r="B85" s="2" t="s">
        <v>89</v>
      </c>
      <c r="C85" s="3" t="s">
        <v>162</v>
      </c>
      <c r="D85" s="4" t="s">
        <v>257</v>
      </c>
      <c r="E85" s="4">
        <v>699</v>
      </c>
      <c r="F85" s="5">
        <v>48185</v>
      </c>
      <c r="G85" s="6" t="s">
        <v>324</v>
      </c>
    </row>
    <row r="86" spans="2:7" x14ac:dyDescent="0.25">
      <c r="B86" s="2" t="s">
        <v>81</v>
      </c>
      <c r="C86" s="3" t="s">
        <v>155</v>
      </c>
      <c r="D86" s="4" t="s">
        <v>249</v>
      </c>
      <c r="E86" s="4">
        <v>689</v>
      </c>
      <c r="F86" s="5">
        <v>47461</v>
      </c>
      <c r="G86" s="6" t="s">
        <v>337</v>
      </c>
    </row>
    <row r="87" spans="2:7" x14ac:dyDescent="0.25">
      <c r="B87" s="2" t="s">
        <v>65</v>
      </c>
      <c r="C87" s="3" t="s">
        <v>157</v>
      </c>
      <c r="D87" s="4" t="s">
        <v>233</v>
      </c>
      <c r="E87" s="4">
        <v>686</v>
      </c>
      <c r="F87" s="5">
        <v>47254</v>
      </c>
      <c r="G87" s="6" t="s">
        <v>352</v>
      </c>
    </row>
    <row r="88" spans="2:7" x14ac:dyDescent="0.25">
      <c r="B88" s="2" t="s">
        <v>79</v>
      </c>
      <c r="C88" s="3" t="s">
        <v>165</v>
      </c>
      <c r="D88" s="4" t="s">
        <v>247</v>
      </c>
      <c r="E88" s="4">
        <v>680</v>
      </c>
      <c r="F88" s="5">
        <v>46841</v>
      </c>
      <c r="G88" s="6" t="s">
        <v>335</v>
      </c>
    </row>
    <row r="89" spans="2:7" x14ac:dyDescent="0.25">
      <c r="B89" s="2" t="s">
        <v>70</v>
      </c>
      <c r="C89" s="3" t="s">
        <v>159</v>
      </c>
      <c r="D89" s="4" t="s">
        <v>238</v>
      </c>
      <c r="E89" s="4">
        <v>677</v>
      </c>
      <c r="F89" s="5">
        <v>46634</v>
      </c>
      <c r="G89" s="6" t="s">
        <v>335</v>
      </c>
    </row>
    <row r="90" spans="2:7" x14ac:dyDescent="0.25">
      <c r="B90" s="2" t="s">
        <v>97</v>
      </c>
      <c r="C90" s="3" t="s">
        <v>151</v>
      </c>
      <c r="D90" s="4" t="s">
        <v>265</v>
      </c>
      <c r="E90" s="4">
        <v>669</v>
      </c>
      <c r="F90" s="21">
        <v>46117</v>
      </c>
      <c r="G90" s="6" t="s">
        <v>332</v>
      </c>
    </row>
    <row r="91" spans="2:7" x14ac:dyDescent="0.25">
      <c r="B91" s="7" t="s">
        <v>86</v>
      </c>
      <c r="C91" s="3" t="s">
        <v>151</v>
      </c>
      <c r="D91" s="4" t="s">
        <v>254</v>
      </c>
      <c r="E91" s="4">
        <v>663</v>
      </c>
      <c r="F91" s="5">
        <v>45703</v>
      </c>
      <c r="G91" s="6" t="s">
        <v>321</v>
      </c>
    </row>
    <row r="92" spans="2:7" x14ac:dyDescent="0.25">
      <c r="B92" s="2" t="s">
        <v>80</v>
      </c>
      <c r="C92" s="3" t="s">
        <v>150</v>
      </c>
      <c r="D92" s="4" t="s">
        <v>248</v>
      </c>
      <c r="E92" s="4">
        <v>651</v>
      </c>
      <c r="F92" s="5">
        <v>44876</v>
      </c>
      <c r="G92" s="6" t="s">
        <v>336</v>
      </c>
    </row>
    <row r="93" spans="2:7" x14ac:dyDescent="0.25">
      <c r="B93" s="2" t="s">
        <v>88</v>
      </c>
      <c r="C93" s="3" t="s">
        <v>158</v>
      </c>
      <c r="D93" s="4" t="s">
        <v>256</v>
      </c>
      <c r="E93" s="4">
        <v>621</v>
      </c>
      <c r="F93" s="5">
        <v>42808</v>
      </c>
      <c r="G93" s="6" t="s">
        <v>323</v>
      </c>
    </row>
    <row r="94" spans="2:7" x14ac:dyDescent="0.25">
      <c r="B94" s="2" t="s">
        <v>94</v>
      </c>
      <c r="C94" s="3" t="s">
        <v>151</v>
      </c>
      <c r="D94" s="4" t="s">
        <v>262</v>
      </c>
      <c r="E94" s="4">
        <v>621</v>
      </c>
      <c r="F94" s="5">
        <v>42808</v>
      </c>
      <c r="G94" s="6" t="s">
        <v>329</v>
      </c>
    </row>
    <row r="95" spans="2:7" x14ac:dyDescent="0.25">
      <c r="B95" s="7" t="s">
        <v>67</v>
      </c>
      <c r="C95" s="3" t="s">
        <v>158</v>
      </c>
      <c r="D95" s="4" t="s">
        <v>235</v>
      </c>
      <c r="E95" s="4">
        <v>612</v>
      </c>
      <c r="F95" s="5">
        <v>42188</v>
      </c>
      <c r="G95" s="6" t="s">
        <v>335</v>
      </c>
    </row>
    <row r="96" spans="2:7" x14ac:dyDescent="0.25">
      <c r="B96" s="2" t="s">
        <v>38</v>
      </c>
      <c r="C96" s="3" t="s">
        <v>161</v>
      </c>
      <c r="D96" s="4" t="s">
        <v>206</v>
      </c>
      <c r="E96" s="4">
        <v>600</v>
      </c>
      <c r="F96" s="5">
        <v>41360</v>
      </c>
      <c r="G96" s="6" t="s">
        <v>338</v>
      </c>
    </row>
    <row r="97" spans="2:7" x14ac:dyDescent="0.25">
      <c r="B97" s="2" t="s">
        <v>90</v>
      </c>
      <c r="C97" s="3" t="s">
        <v>155</v>
      </c>
      <c r="D97" s="4" t="s">
        <v>258</v>
      </c>
      <c r="E97" s="4">
        <v>581</v>
      </c>
      <c r="F97" s="5">
        <v>40016</v>
      </c>
      <c r="G97" s="6" t="s">
        <v>325</v>
      </c>
    </row>
    <row r="98" spans="2:7" x14ac:dyDescent="0.25">
      <c r="B98" s="7" t="s">
        <v>66</v>
      </c>
      <c r="C98" s="3" t="s">
        <v>158</v>
      </c>
      <c r="D98" s="4" t="s">
        <v>234</v>
      </c>
      <c r="E98" s="4">
        <v>576</v>
      </c>
      <c r="F98" s="5">
        <v>39706</v>
      </c>
      <c r="G98" s="6" t="s">
        <v>334</v>
      </c>
    </row>
    <row r="99" spans="2:7" x14ac:dyDescent="0.25">
      <c r="B99" s="2" t="s">
        <v>28</v>
      </c>
      <c r="C99" s="3" t="s">
        <v>151</v>
      </c>
      <c r="D99" s="4" t="s">
        <v>196</v>
      </c>
      <c r="E99" s="4">
        <v>570</v>
      </c>
      <c r="F99" s="5">
        <v>39292</v>
      </c>
      <c r="G99" s="6" t="s">
        <v>347</v>
      </c>
    </row>
    <row r="100" spans="2:7" x14ac:dyDescent="0.25">
      <c r="B100" s="2" t="s">
        <v>15</v>
      </c>
      <c r="C100" s="3" t="s">
        <v>150</v>
      </c>
      <c r="D100" s="4" t="s">
        <v>183</v>
      </c>
      <c r="E100" s="4">
        <v>555</v>
      </c>
      <c r="F100" s="5">
        <v>38258</v>
      </c>
      <c r="G100" s="6" t="s">
        <v>334</v>
      </c>
    </row>
    <row r="101" spans="2:7" x14ac:dyDescent="0.25">
      <c r="B101" s="2" t="s">
        <v>77</v>
      </c>
      <c r="C101" s="3" t="s">
        <v>157</v>
      </c>
      <c r="D101" s="4" t="s">
        <v>245</v>
      </c>
      <c r="E101" s="4">
        <v>536</v>
      </c>
      <c r="F101" s="5">
        <v>36914</v>
      </c>
      <c r="G101" s="6" t="s">
        <v>352</v>
      </c>
    </row>
    <row r="102" spans="2:7" x14ac:dyDescent="0.25">
      <c r="B102" s="2" t="s">
        <v>17</v>
      </c>
      <c r="C102" s="3" t="s">
        <v>158</v>
      </c>
      <c r="D102" s="4" t="s">
        <v>185</v>
      </c>
      <c r="E102" s="4">
        <v>519</v>
      </c>
      <c r="F102" s="5">
        <v>35777</v>
      </c>
      <c r="G102" s="6" t="s">
        <v>336</v>
      </c>
    </row>
    <row r="103" spans="2:7" x14ac:dyDescent="0.25">
      <c r="B103" s="2" t="s">
        <v>85</v>
      </c>
      <c r="C103" s="3" t="s">
        <v>151</v>
      </c>
      <c r="D103" s="4" t="s">
        <v>253</v>
      </c>
      <c r="E103" s="4">
        <v>519</v>
      </c>
      <c r="F103" s="5">
        <v>35777</v>
      </c>
      <c r="G103" s="6" t="s">
        <v>320</v>
      </c>
    </row>
    <row r="104" spans="2:7" x14ac:dyDescent="0.25">
      <c r="B104" s="2" t="s">
        <v>76</v>
      </c>
      <c r="C104" s="3" t="s">
        <v>157</v>
      </c>
      <c r="D104" s="4" t="s">
        <v>244</v>
      </c>
      <c r="E104" s="4">
        <v>485</v>
      </c>
      <c r="F104" s="5">
        <v>33399</v>
      </c>
      <c r="G104" s="6" t="s">
        <v>341</v>
      </c>
    </row>
    <row r="105" spans="2:7" x14ac:dyDescent="0.25">
      <c r="B105" s="2" t="s">
        <v>0</v>
      </c>
      <c r="C105" s="3" t="s">
        <v>150</v>
      </c>
      <c r="D105" s="4" t="s">
        <v>168</v>
      </c>
      <c r="E105" s="4">
        <v>464</v>
      </c>
      <c r="F105" s="5">
        <v>31951</v>
      </c>
      <c r="G105" s="6" t="s">
        <v>319</v>
      </c>
    </row>
    <row r="106" spans="2:7" x14ac:dyDescent="0.25">
      <c r="B106" s="2" t="s">
        <v>26</v>
      </c>
      <c r="C106" s="3" t="s">
        <v>151</v>
      </c>
      <c r="D106" s="4" t="s">
        <v>194</v>
      </c>
      <c r="E106" s="4">
        <v>458</v>
      </c>
      <c r="F106" s="5">
        <v>31537</v>
      </c>
      <c r="G106" s="6" t="s">
        <v>345</v>
      </c>
    </row>
    <row r="107" spans="2:7" x14ac:dyDescent="0.25">
      <c r="B107" s="7" t="s">
        <v>133</v>
      </c>
      <c r="C107" s="3" t="s">
        <v>163</v>
      </c>
      <c r="D107" s="4" t="s">
        <v>299</v>
      </c>
      <c r="E107" s="4">
        <v>455</v>
      </c>
      <c r="F107" s="5">
        <v>31331</v>
      </c>
      <c r="G107" s="6" t="s">
        <v>334</v>
      </c>
    </row>
    <row r="108" spans="2:7" x14ac:dyDescent="0.25">
      <c r="B108" s="2" t="s">
        <v>134</v>
      </c>
      <c r="C108" s="3" t="s">
        <v>151</v>
      </c>
      <c r="D108" s="4" t="s">
        <v>300</v>
      </c>
      <c r="E108" s="4">
        <v>435</v>
      </c>
      <c r="F108" s="5">
        <v>29986</v>
      </c>
      <c r="G108" s="6" t="s">
        <v>319</v>
      </c>
    </row>
    <row r="109" spans="2:7" x14ac:dyDescent="0.25">
      <c r="B109" s="2" t="s">
        <v>49</v>
      </c>
      <c r="C109" s="3" t="s">
        <v>151</v>
      </c>
      <c r="D109" s="4" t="s">
        <v>217</v>
      </c>
      <c r="E109" s="4">
        <v>428</v>
      </c>
      <c r="F109" s="5">
        <v>29469</v>
      </c>
      <c r="G109" s="6" t="s">
        <v>334</v>
      </c>
    </row>
    <row r="110" spans="2:7" x14ac:dyDescent="0.25">
      <c r="B110" s="7" t="s">
        <v>147</v>
      </c>
      <c r="C110" s="3" t="s">
        <v>166</v>
      </c>
      <c r="D110" s="4" t="s">
        <v>313</v>
      </c>
      <c r="E110" s="4">
        <v>422</v>
      </c>
      <c r="F110" s="5">
        <v>29056</v>
      </c>
      <c r="G110" s="6" t="s">
        <v>321</v>
      </c>
    </row>
    <row r="111" spans="2:7" x14ac:dyDescent="0.25">
      <c r="B111" s="2" t="s">
        <v>120</v>
      </c>
      <c r="C111" s="3" t="s">
        <v>163</v>
      </c>
      <c r="D111" s="4" t="s">
        <v>287</v>
      </c>
      <c r="E111" s="4">
        <v>419</v>
      </c>
      <c r="F111" s="5">
        <v>28849</v>
      </c>
      <c r="G111" s="6" t="s">
        <v>336</v>
      </c>
    </row>
    <row r="112" spans="2:7" x14ac:dyDescent="0.25">
      <c r="B112" s="7" t="s">
        <v>48</v>
      </c>
      <c r="C112" s="3" t="s">
        <v>153</v>
      </c>
      <c r="D112" s="4" t="s">
        <v>216</v>
      </c>
      <c r="E112" s="4">
        <v>417</v>
      </c>
      <c r="F112" s="5">
        <v>28746</v>
      </c>
      <c r="G112" s="6" t="s">
        <v>333</v>
      </c>
    </row>
    <row r="113" spans="2:7" x14ac:dyDescent="0.25">
      <c r="B113" s="7" t="s">
        <v>73</v>
      </c>
      <c r="C113" s="3" t="s">
        <v>165</v>
      </c>
      <c r="D113" s="4" t="s">
        <v>241</v>
      </c>
      <c r="E113" s="4">
        <v>390</v>
      </c>
      <c r="F113" s="5">
        <v>26884</v>
      </c>
      <c r="G113" s="6" t="s">
        <v>338</v>
      </c>
    </row>
    <row r="114" spans="2:7" x14ac:dyDescent="0.25">
      <c r="B114" s="7" t="s">
        <v>141</v>
      </c>
      <c r="C114" s="3" t="s">
        <v>151</v>
      </c>
      <c r="D114" s="4" t="s">
        <v>307</v>
      </c>
      <c r="E114" s="4">
        <v>357</v>
      </c>
      <c r="F114" s="5">
        <v>24610</v>
      </c>
      <c r="G114" s="6" t="s">
        <v>326</v>
      </c>
    </row>
    <row r="115" spans="2:7" x14ac:dyDescent="0.25">
      <c r="B115" s="7" t="s">
        <v>127</v>
      </c>
      <c r="C115" s="3" t="s">
        <v>151</v>
      </c>
      <c r="D115" s="4" t="s">
        <v>293</v>
      </c>
      <c r="E115" s="4">
        <v>351</v>
      </c>
      <c r="F115" s="5">
        <v>24196</v>
      </c>
      <c r="G115" s="6" t="s">
        <v>351</v>
      </c>
    </row>
    <row r="116" spans="2:7" x14ac:dyDescent="0.25">
      <c r="B116" s="7" t="s">
        <v>60</v>
      </c>
      <c r="C116" s="3" t="s">
        <v>153</v>
      </c>
      <c r="D116" s="4" t="s">
        <v>228</v>
      </c>
      <c r="E116" s="4">
        <v>345</v>
      </c>
      <c r="F116" s="5">
        <v>23782</v>
      </c>
      <c r="G116" s="6" t="s">
        <v>334</v>
      </c>
    </row>
    <row r="117" spans="2:7" x14ac:dyDescent="0.25">
      <c r="B117" s="2" t="s">
        <v>75</v>
      </c>
      <c r="C117" s="3" t="s">
        <v>153</v>
      </c>
      <c r="D117" s="4" t="s">
        <v>243</v>
      </c>
      <c r="E117" s="4">
        <v>339</v>
      </c>
      <c r="F117" s="5">
        <v>23369</v>
      </c>
      <c r="G117" s="6" t="s">
        <v>340</v>
      </c>
    </row>
    <row r="118" spans="2:7" x14ac:dyDescent="0.25">
      <c r="B118" s="7" t="s">
        <v>42</v>
      </c>
      <c r="C118" s="3" t="s">
        <v>157</v>
      </c>
      <c r="D118" s="4" t="s">
        <v>210</v>
      </c>
      <c r="E118" s="4">
        <v>336</v>
      </c>
      <c r="F118" s="5">
        <v>23162</v>
      </c>
      <c r="G118" s="6" t="s">
        <v>350</v>
      </c>
    </row>
    <row r="119" spans="2:7" x14ac:dyDescent="0.25">
      <c r="B119" s="2" t="s">
        <v>116</v>
      </c>
      <c r="C119" s="3" t="s">
        <v>151</v>
      </c>
      <c r="D119" s="4" t="s">
        <v>283</v>
      </c>
      <c r="E119" s="4">
        <v>309</v>
      </c>
      <c r="F119" s="5">
        <v>21301</v>
      </c>
      <c r="G119" s="6" t="s">
        <v>351</v>
      </c>
    </row>
    <row r="120" spans="2:7" x14ac:dyDescent="0.25">
      <c r="B120" s="7" t="s">
        <v>23</v>
      </c>
      <c r="C120" s="3" t="s">
        <v>158</v>
      </c>
      <c r="D120" s="4" t="s">
        <v>191</v>
      </c>
      <c r="E120" s="4">
        <v>285</v>
      </c>
      <c r="F120" s="5">
        <v>19646</v>
      </c>
      <c r="G120" s="6" t="s">
        <v>342</v>
      </c>
    </row>
    <row r="121" spans="2:7" x14ac:dyDescent="0.25">
      <c r="B121" s="2" t="s">
        <v>84</v>
      </c>
      <c r="C121" s="3" t="s">
        <v>151</v>
      </c>
      <c r="D121" s="4" t="s">
        <v>252</v>
      </c>
      <c r="E121" s="4">
        <v>279</v>
      </c>
      <c r="F121" s="5">
        <v>19233</v>
      </c>
      <c r="G121" s="6" t="s">
        <v>319</v>
      </c>
    </row>
    <row r="122" spans="2:7" x14ac:dyDescent="0.25">
      <c r="B122" s="7" t="s">
        <v>144</v>
      </c>
      <c r="C122" s="3" t="s">
        <v>155</v>
      </c>
      <c r="D122" s="4" t="s">
        <v>310</v>
      </c>
      <c r="E122" s="4">
        <v>278</v>
      </c>
      <c r="F122" s="5">
        <v>19129</v>
      </c>
      <c r="G122" s="6" t="s">
        <v>334</v>
      </c>
    </row>
    <row r="123" spans="2:7" x14ac:dyDescent="0.25">
      <c r="B123" s="7" t="s">
        <v>138</v>
      </c>
      <c r="C123" s="3" t="s">
        <v>162</v>
      </c>
      <c r="D123" s="4" t="s">
        <v>304</v>
      </c>
      <c r="E123" s="4">
        <v>269</v>
      </c>
      <c r="F123" s="5">
        <v>18509</v>
      </c>
      <c r="G123" s="6" t="s">
        <v>323</v>
      </c>
    </row>
    <row r="124" spans="2:7" x14ac:dyDescent="0.25">
      <c r="B124" s="2" t="s">
        <v>12</v>
      </c>
      <c r="C124" s="3" t="s">
        <v>153</v>
      </c>
      <c r="D124" s="4" t="s">
        <v>180</v>
      </c>
      <c r="E124" s="4">
        <v>249</v>
      </c>
      <c r="F124" s="5">
        <v>17165</v>
      </c>
      <c r="G124" s="6" t="s">
        <v>331</v>
      </c>
    </row>
    <row r="125" spans="2:7" x14ac:dyDescent="0.25">
      <c r="B125" s="2" t="s">
        <v>1</v>
      </c>
      <c r="C125" s="3" t="s">
        <v>151</v>
      </c>
      <c r="D125" s="4" t="s">
        <v>169</v>
      </c>
      <c r="E125" s="4">
        <v>243</v>
      </c>
      <c r="F125" s="5">
        <v>16751</v>
      </c>
      <c r="G125" s="6" t="s">
        <v>320</v>
      </c>
    </row>
    <row r="126" spans="2:7" x14ac:dyDescent="0.25">
      <c r="B126" s="7" t="s">
        <v>128</v>
      </c>
      <c r="C126" s="3" t="s">
        <v>157</v>
      </c>
      <c r="D126" s="4" t="s">
        <v>294</v>
      </c>
      <c r="E126" s="4">
        <v>236</v>
      </c>
      <c r="F126" s="5">
        <v>16234</v>
      </c>
      <c r="G126" s="6" t="s">
        <v>352</v>
      </c>
    </row>
    <row r="127" spans="2:7" x14ac:dyDescent="0.25">
      <c r="B127" s="7" t="s">
        <v>139</v>
      </c>
      <c r="C127" s="3" t="s">
        <v>152</v>
      </c>
      <c r="D127" s="4" t="s">
        <v>305</v>
      </c>
      <c r="E127" s="4">
        <v>231</v>
      </c>
      <c r="F127" s="5">
        <v>15924</v>
      </c>
      <c r="G127" s="6" t="s">
        <v>324</v>
      </c>
    </row>
    <row r="128" spans="2:7" x14ac:dyDescent="0.25">
      <c r="B128" s="2" t="s">
        <v>14</v>
      </c>
      <c r="C128" s="3" t="s">
        <v>158</v>
      </c>
      <c r="D128" s="4" t="s">
        <v>182</v>
      </c>
      <c r="E128" s="4">
        <v>218</v>
      </c>
      <c r="F128" s="5">
        <v>14993</v>
      </c>
      <c r="G128" s="6" t="s">
        <v>333</v>
      </c>
    </row>
    <row r="129" spans="2:7" x14ac:dyDescent="0.25">
      <c r="B129" s="7" t="s">
        <v>83</v>
      </c>
      <c r="C129" s="3" t="s">
        <v>163</v>
      </c>
      <c r="D129" s="4" t="s">
        <v>251</v>
      </c>
      <c r="E129" s="4">
        <v>197</v>
      </c>
      <c r="F129" s="5">
        <v>13546</v>
      </c>
      <c r="G129" s="6" t="s">
        <v>339</v>
      </c>
    </row>
    <row r="130" spans="2:7" x14ac:dyDescent="0.25">
      <c r="B130" s="2" t="s">
        <v>8</v>
      </c>
      <c r="C130" s="3" t="s">
        <v>156</v>
      </c>
      <c r="D130" s="4" t="s">
        <v>176</v>
      </c>
      <c r="E130" s="4">
        <v>195</v>
      </c>
      <c r="F130" s="5">
        <v>13442</v>
      </c>
      <c r="G130" s="6" t="s">
        <v>327</v>
      </c>
    </row>
    <row r="131" spans="2:7" x14ac:dyDescent="0.25">
      <c r="B131" s="7" t="s">
        <v>148</v>
      </c>
      <c r="C131" s="3" t="s">
        <v>155</v>
      </c>
      <c r="D131" s="4" t="s">
        <v>314</v>
      </c>
      <c r="E131" s="4">
        <v>182</v>
      </c>
      <c r="F131" s="5">
        <v>12512</v>
      </c>
      <c r="G131" s="6" t="s">
        <v>351</v>
      </c>
    </row>
    <row r="132" spans="2:7" x14ac:dyDescent="0.25">
      <c r="B132" s="2" t="s">
        <v>24</v>
      </c>
      <c r="C132" s="3" t="s">
        <v>151</v>
      </c>
      <c r="D132" s="4" t="s">
        <v>192</v>
      </c>
      <c r="E132" s="4">
        <v>176</v>
      </c>
      <c r="F132" s="5">
        <v>12098</v>
      </c>
      <c r="G132" s="6" t="s">
        <v>343</v>
      </c>
    </row>
    <row r="133" spans="2:7" x14ac:dyDescent="0.25">
      <c r="B133" s="2" t="s">
        <v>25</v>
      </c>
      <c r="C133" s="3" t="s">
        <v>151</v>
      </c>
      <c r="D133" s="4" t="s">
        <v>193</v>
      </c>
      <c r="E133" s="4">
        <v>176</v>
      </c>
      <c r="F133" s="5">
        <v>12098</v>
      </c>
      <c r="G133" s="6" t="s">
        <v>344</v>
      </c>
    </row>
    <row r="134" spans="2:7" x14ac:dyDescent="0.25">
      <c r="B134" s="2" t="s">
        <v>41</v>
      </c>
      <c r="C134" s="3" t="s">
        <v>158</v>
      </c>
      <c r="D134" s="4" t="s">
        <v>209</v>
      </c>
      <c r="E134" s="4">
        <v>168</v>
      </c>
      <c r="F134" s="5">
        <v>11581</v>
      </c>
      <c r="G134" s="6" t="s">
        <v>349</v>
      </c>
    </row>
    <row r="135" spans="2:7" x14ac:dyDescent="0.25">
      <c r="B135" s="7" t="s">
        <v>98</v>
      </c>
      <c r="C135" s="3" t="s">
        <v>151</v>
      </c>
      <c r="D135" s="4" t="s">
        <v>266</v>
      </c>
      <c r="E135" s="4">
        <v>168</v>
      </c>
      <c r="F135" s="5">
        <v>11581</v>
      </c>
      <c r="G135" s="6" t="s">
        <v>333</v>
      </c>
    </row>
    <row r="136" spans="2:7" x14ac:dyDescent="0.25">
      <c r="B136" s="7" t="s">
        <v>140</v>
      </c>
      <c r="C136" s="3" t="s">
        <v>157</v>
      </c>
      <c r="D136" s="4" t="s">
        <v>306</v>
      </c>
      <c r="E136" s="4">
        <v>159</v>
      </c>
      <c r="F136" s="5">
        <v>10961</v>
      </c>
      <c r="G136" s="6" t="s">
        <v>325</v>
      </c>
    </row>
    <row r="137" spans="2:7" x14ac:dyDescent="0.25">
      <c r="B137" s="7" t="s">
        <v>47</v>
      </c>
      <c r="C137" s="3" t="s">
        <v>151</v>
      </c>
      <c r="D137" s="4" t="s">
        <v>215</v>
      </c>
      <c r="E137" s="4">
        <v>158</v>
      </c>
      <c r="F137" s="5">
        <v>10857</v>
      </c>
      <c r="G137" s="6" t="s">
        <v>332</v>
      </c>
    </row>
    <row r="138" spans="2:7" x14ac:dyDescent="0.25">
      <c r="B138" s="2" t="s">
        <v>95</v>
      </c>
      <c r="C138" s="3" t="s">
        <v>151</v>
      </c>
      <c r="D138" s="4" t="s">
        <v>263</v>
      </c>
      <c r="E138" s="4">
        <v>143</v>
      </c>
      <c r="F138" s="5">
        <v>10450</v>
      </c>
      <c r="G138" s="6" t="s">
        <v>330</v>
      </c>
    </row>
    <row r="139" spans="2:7" x14ac:dyDescent="0.25">
      <c r="B139" s="2" t="s">
        <v>114</v>
      </c>
      <c r="C139" s="3" t="s">
        <v>162</v>
      </c>
      <c r="D139" s="4" t="s">
        <v>281</v>
      </c>
      <c r="E139" s="4">
        <v>138</v>
      </c>
      <c r="F139" s="5">
        <v>10120</v>
      </c>
      <c r="G139" s="6" t="s">
        <v>349</v>
      </c>
    </row>
    <row r="140" spans="2:7" x14ac:dyDescent="0.25">
      <c r="B140" s="2" t="s">
        <v>10</v>
      </c>
      <c r="C140" s="3" t="s">
        <v>157</v>
      </c>
      <c r="D140" s="4" t="s">
        <v>178</v>
      </c>
      <c r="E140" s="4">
        <v>134</v>
      </c>
      <c r="F140" s="5">
        <v>9790</v>
      </c>
      <c r="G140" s="6" t="s">
        <v>329</v>
      </c>
    </row>
    <row r="141" spans="2:7" x14ac:dyDescent="0.25">
      <c r="B141" s="2" t="s">
        <v>9</v>
      </c>
      <c r="C141" s="3" t="s">
        <v>151</v>
      </c>
      <c r="D141" s="4" t="s">
        <v>177</v>
      </c>
      <c r="E141" s="4">
        <v>132</v>
      </c>
      <c r="F141" s="5">
        <v>9680</v>
      </c>
      <c r="G141" s="6" t="s">
        <v>328</v>
      </c>
    </row>
    <row r="142" spans="2:7" x14ac:dyDescent="0.25">
      <c r="B142" s="7" t="s">
        <v>51</v>
      </c>
      <c r="C142" s="3" t="s">
        <v>163</v>
      </c>
      <c r="D142" s="4" t="s">
        <v>219</v>
      </c>
      <c r="E142" s="4">
        <v>128</v>
      </c>
      <c r="F142" s="5">
        <v>9350</v>
      </c>
      <c r="G142" s="6" t="s">
        <v>320</v>
      </c>
    </row>
    <row r="143" spans="2:7" x14ac:dyDescent="0.25">
      <c r="B143" s="2" t="s">
        <v>105</v>
      </c>
      <c r="C143" s="3" t="s">
        <v>154</v>
      </c>
      <c r="D143" s="4" t="s">
        <v>272</v>
      </c>
      <c r="E143" s="4">
        <v>119</v>
      </c>
      <c r="F143" s="5">
        <v>8690</v>
      </c>
      <c r="G143" s="6" t="s">
        <v>340</v>
      </c>
    </row>
    <row r="144" spans="2:7" x14ac:dyDescent="0.25">
      <c r="B144" s="2" t="s">
        <v>121</v>
      </c>
      <c r="C144" s="3" t="s">
        <v>165</v>
      </c>
      <c r="D144" s="4" t="s">
        <v>288</v>
      </c>
      <c r="E144" s="4">
        <v>95</v>
      </c>
      <c r="F144" s="5">
        <v>6930</v>
      </c>
      <c r="G144" s="6" t="s">
        <v>337</v>
      </c>
    </row>
    <row r="145" spans="2:7" x14ac:dyDescent="0.25">
      <c r="B145" s="2" t="s">
        <v>123</v>
      </c>
      <c r="C145" s="3" t="s">
        <v>158</v>
      </c>
      <c r="D145" s="4" t="s">
        <v>289</v>
      </c>
      <c r="E145" s="4">
        <v>78</v>
      </c>
      <c r="F145" s="5">
        <v>5720</v>
      </c>
      <c r="G145" s="6" t="s">
        <v>339</v>
      </c>
    </row>
    <row r="146" spans="2:7" x14ac:dyDescent="0.25">
      <c r="B146" s="2" t="s">
        <v>7</v>
      </c>
      <c r="C146" s="3" t="s">
        <v>154</v>
      </c>
      <c r="D146" s="4" t="s">
        <v>175</v>
      </c>
      <c r="E146" s="4">
        <v>72</v>
      </c>
      <c r="F146" s="5">
        <v>5280</v>
      </c>
      <c r="G146" s="6" t="s">
        <v>326</v>
      </c>
    </row>
    <row r="147" spans="2:7" x14ac:dyDescent="0.25">
      <c r="B147" s="2" t="s">
        <v>135</v>
      </c>
      <c r="C147" s="3" t="s">
        <v>153</v>
      </c>
      <c r="D147" s="4" t="s">
        <v>301</v>
      </c>
      <c r="E147" s="4">
        <v>62</v>
      </c>
      <c r="F147" s="5">
        <v>4510</v>
      </c>
      <c r="G147" s="6" t="s">
        <v>320</v>
      </c>
    </row>
    <row r="148" spans="2:7" x14ac:dyDescent="0.25">
      <c r="B148" s="2" t="s">
        <v>52</v>
      </c>
      <c r="C148" s="3" t="s">
        <v>157</v>
      </c>
      <c r="D148" s="4" t="s">
        <v>220</v>
      </c>
      <c r="E148" s="4">
        <v>48</v>
      </c>
      <c r="F148" s="5">
        <v>3520</v>
      </c>
      <c r="G148" s="6" t="s">
        <v>321</v>
      </c>
    </row>
    <row r="149" spans="2:7" x14ac:dyDescent="0.25">
      <c r="B149" s="7" t="s">
        <v>62</v>
      </c>
      <c r="C149" s="3" t="s">
        <v>153</v>
      </c>
      <c r="D149" s="4" t="s">
        <v>230</v>
      </c>
      <c r="E149" s="4">
        <v>45</v>
      </c>
      <c r="F149" s="5">
        <v>3300</v>
      </c>
      <c r="G149" s="6" t="s">
        <v>320</v>
      </c>
    </row>
    <row r="150" spans="2:7" x14ac:dyDescent="0.25">
      <c r="B150" s="2" t="s">
        <v>22</v>
      </c>
      <c r="C150" s="3" t="s">
        <v>151</v>
      </c>
      <c r="D150" s="4" t="s">
        <v>190</v>
      </c>
      <c r="E150" s="4">
        <v>35</v>
      </c>
      <c r="F150" s="5">
        <v>2530</v>
      </c>
      <c r="G150" s="6" t="s">
        <v>341</v>
      </c>
    </row>
    <row r="151" spans="2:7" x14ac:dyDescent="0.25">
      <c r="B151" s="7" t="s">
        <v>74</v>
      </c>
      <c r="C151" s="3" t="s">
        <v>151</v>
      </c>
      <c r="D151" s="4" t="s">
        <v>242</v>
      </c>
      <c r="E151" s="4">
        <v>30</v>
      </c>
      <c r="F151" s="5">
        <v>2200</v>
      </c>
      <c r="G151" s="6" t="s">
        <v>339</v>
      </c>
    </row>
    <row r="152" spans="2:7" x14ac:dyDescent="0.25">
      <c r="B152" s="2" t="s">
        <v>40</v>
      </c>
      <c r="C152" s="3" t="s">
        <v>157</v>
      </c>
      <c r="D152" s="4" t="s">
        <v>208</v>
      </c>
      <c r="E152" s="4">
        <v>21</v>
      </c>
      <c r="F152" s="5">
        <v>1540</v>
      </c>
      <c r="G152" s="6" t="s">
        <v>340</v>
      </c>
    </row>
    <row r="153" spans="2:7" x14ac:dyDescent="0.25">
      <c r="B153" s="8" t="s">
        <v>46</v>
      </c>
      <c r="C153" s="9" t="s">
        <v>155</v>
      </c>
      <c r="D153" s="10" t="s">
        <v>214</v>
      </c>
      <c r="E153" s="10">
        <v>8</v>
      </c>
      <c r="F153" s="11">
        <v>550</v>
      </c>
      <c r="G153" s="12" t="s">
        <v>331</v>
      </c>
    </row>
  </sheetData>
  <mergeCells count="23">
    <mergeCell ref="I10:J10"/>
    <mergeCell ref="I11:J11"/>
    <mergeCell ref="I12:J12"/>
    <mergeCell ref="B3:G3"/>
    <mergeCell ref="I4:J4"/>
    <mergeCell ref="I5:J5"/>
    <mergeCell ref="I6:J6"/>
    <mergeCell ref="I7:J7"/>
    <mergeCell ref="I8:J8"/>
    <mergeCell ref="I9:J9"/>
    <mergeCell ref="I23:J23"/>
    <mergeCell ref="I24:J24"/>
    <mergeCell ref="I25:J25"/>
    <mergeCell ref="I18:J18"/>
    <mergeCell ref="I19:J19"/>
    <mergeCell ref="I20:J20"/>
    <mergeCell ref="I21:J21"/>
    <mergeCell ref="I22:J22"/>
    <mergeCell ref="I13:J13"/>
    <mergeCell ref="I14:J14"/>
    <mergeCell ref="I15:J15"/>
    <mergeCell ref="I16:J16"/>
    <mergeCell ref="I17:J17"/>
  </mergeCells>
  <phoneticPr fontId="9" type="noConversion"/>
  <conditionalFormatting sqref="B5:G153">
    <cfRule type="expression" dxfId="5" priority="1">
      <formula>$C5="SERVICES"</formula>
    </cfRule>
    <cfRule type="expression" dxfId="4" priority="2">
      <formula>"$C5=""SERVICES"""</formula>
    </cfRule>
    <cfRule type="expression" dxfId="3" priority="3">
      <formula>$C5="PHARMA"</formula>
    </cfRule>
    <cfRule type="expression" dxfId="2" priority="4">
      <formula>$C5="METALS"</formula>
    </cfRule>
    <cfRule type="containsText" dxfId="1" priority="6" operator="containsText" text="pharma">
      <formula>NOT(ISERROR(SEARCH("pharma",B5)))</formula>
    </cfRule>
  </conditionalFormatting>
  <conditionalFormatting sqref="C5:C153">
    <cfRule type="containsText" dxfId="0" priority="7" operator="containsText" text="Pharma">
      <formula>NOT(ISERROR(SEARCH("Pharma",C5)))</formula>
    </cfRule>
  </conditionalFormatting>
  <pageMargins left="0.7" right="0.7" top="0.75" bottom="0.75" header="0.3" footer="0.3"/>
  <pageSetup paperSize="9" orientation="portrait" horizontalDpi="12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46E49-8B7B-446B-AAF4-3DFFB38A7E3F}">
  <dimension ref="B3:L50"/>
  <sheetViews>
    <sheetView workbookViewId="0">
      <selection activeCell="F30" sqref="F30"/>
    </sheetView>
  </sheetViews>
  <sheetFormatPr defaultRowHeight="13.8" x14ac:dyDescent="0.25"/>
  <cols>
    <col min="1" max="1" width="8.88671875" style="1"/>
    <col min="2" max="2" width="15.6640625" style="1" customWidth="1"/>
    <col min="3" max="3" width="17.21875" style="1" customWidth="1"/>
    <col min="4" max="4" width="10.33203125" style="1" customWidth="1"/>
    <col min="5" max="5" width="12.21875" style="1" customWidth="1"/>
    <col min="6" max="6" width="27.109375" style="1" customWidth="1"/>
    <col min="7" max="7" width="18.77734375" style="1" customWidth="1"/>
    <col min="8" max="8" width="24.6640625" style="1" customWidth="1"/>
    <col min="9" max="9" width="13.6640625" style="1" customWidth="1"/>
    <col min="10" max="10" width="8.88671875" style="1"/>
    <col min="11" max="11" width="18.109375" style="1" customWidth="1"/>
    <col min="12" max="12" width="14.44140625" style="1" customWidth="1"/>
    <col min="13" max="16384" width="8.88671875" style="1"/>
  </cols>
  <sheetData>
    <row r="3" spans="2:9" x14ac:dyDescent="0.25">
      <c r="B3" s="54" t="s">
        <v>399</v>
      </c>
      <c r="C3" s="54"/>
      <c r="D3" s="54"/>
      <c r="E3" s="54"/>
      <c r="F3" s="54"/>
    </row>
    <row r="4" spans="2:9" ht="14.4" thickBot="1" x14ac:dyDescent="0.3"/>
    <row r="5" spans="2:9" ht="14.4" thickBot="1" x14ac:dyDescent="0.3">
      <c r="B5" s="27" t="s">
        <v>364</v>
      </c>
      <c r="C5" s="28" t="s">
        <v>365</v>
      </c>
      <c r="D5" s="28" t="s">
        <v>366</v>
      </c>
      <c r="E5" s="28" t="s">
        <v>367</v>
      </c>
      <c r="F5" s="28" t="s">
        <v>368</v>
      </c>
      <c r="G5" s="28" t="s">
        <v>369</v>
      </c>
      <c r="H5" s="28" t="s">
        <v>370</v>
      </c>
      <c r="I5" s="29" t="s">
        <v>371</v>
      </c>
    </row>
    <row r="6" spans="2:9" x14ac:dyDescent="0.25">
      <c r="B6" s="26">
        <v>102</v>
      </c>
      <c r="C6" s="26" t="s">
        <v>372</v>
      </c>
      <c r="D6" s="26">
        <v>23</v>
      </c>
      <c r="E6" s="26" t="s">
        <v>383</v>
      </c>
      <c r="F6" s="26" t="s">
        <v>385</v>
      </c>
      <c r="G6" s="26" t="s">
        <v>390</v>
      </c>
      <c r="H6" s="26">
        <v>90</v>
      </c>
      <c r="I6" s="26" t="s">
        <v>396</v>
      </c>
    </row>
    <row r="7" spans="2:9" x14ac:dyDescent="0.25">
      <c r="B7" s="25">
        <v>109</v>
      </c>
      <c r="C7" s="25" t="s">
        <v>373</v>
      </c>
      <c r="D7" s="25">
        <v>30</v>
      </c>
      <c r="E7" s="25" t="s">
        <v>383</v>
      </c>
      <c r="F7" s="25" t="s">
        <v>385</v>
      </c>
      <c r="G7" s="25" t="s">
        <v>391</v>
      </c>
      <c r="H7" s="25">
        <v>65</v>
      </c>
      <c r="I7" s="25" t="s">
        <v>396</v>
      </c>
    </row>
    <row r="8" spans="2:9" x14ac:dyDescent="0.25">
      <c r="B8" s="25">
        <v>107</v>
      </c>
      <c r="C8" s="25" t="s">
        <v>374</v>
      </c>
      <c r="D8" s="25">
        <v>28</v>
      </c>
      <c r="E8" s="25" t="s">
        <v>383</v>
      </c>
      <c r="F8" s="25" t="s">
        <v>386</v>
      </c>
      <c r="G8" s="25" t="s">
        <v>392</v>
      </c>
      <c r="H8" s="25">
        <v>80</v>
      </c>
      <c r="I8" s="25" t="s">
        <v>396</v>
      </c>
    </row>
    <row r="9" spans="2:9" x14ac:dyDescent="0.25">
      <c r="B9" s="25">
        <v>108</v>
      </c>
      <c r="C9" s="25" t="s">
        <v>375</v>
      </c>
      <c r="D9" s="25">
        <v>24</v>
      </c>
      <c r="E9" s="25" t="s">
        <v>383</v>
      </c>
      <c r="F9" s="25" t="s">
        <v>387</v>
      </c>
      <c r="G9" s="25" t="s">
        <v>392</v>
      </c>
      <c r="H9" s="25">
        <v>96</v>
      </c>
      <c r="I9" s="25" t="s">
        <v>397</v>
      </c>
    </row>
    <row r="10" spans="2:9" x14ac:dyDescent="0.25">
      <c r="B10" s="25">
        <v>103</v>
      </c>
      <c r="C10" s="25" t="s">
        <v>376</v>
      </c>
      <c r="D10" s="25">
        <v>26</v>
      </c>
      <c r="E10" s="25" t="s">
        <v>384</v>
      </c>
      <c r="F10" s="25" t="s">
        <v>387</v>
      </c>
      <c r="G10" s="25" t="s">
        <v>393</v>
      </c>
      <c r="H10" s="25">
        <v>87</v>
      </c>
      <c r="I10" s="25" t="s">
        <v>397</v>
      </c>
    </row>
    <row r="11" spans="2:9" x14ac:dyDescent="0.25">
      <c r="B11" s="25">
        <v>101</v>
      </c>
      <c r="C11" s="25" t="s">
        <v>377</v>
      </c>
      <c r="D11" s="25">
        <v>25</v>
      </c>
      <c r="E11" s="25" t="s">
        <v>384</v>
      </c>
      <c r="F11" s="25" t="s">
        <v>388</v>
      </c>
      <c r="G11" s="25" t="s">
        <v>394</v>
      </c>
      <c r="H11" s="25">
        <v>56</v>
      </c>
      <c r="I11" s="25" t="s">
        <v>397</v>
      </c>
    </row>
    <row r="12" spans="2:9" x14ac:dyDescent="0.25">
      <c r="B12" s="25">
        <v>104</v>
      </c>
      <c r="C12" s="25" t="s">
        <v>378</v>
      </c>
      <c r="D12" s="25">
        <v>27</v>
      </c>
      <c r="E12" s="25" t="s">
        <v>383</v>
      </c>
      <c r="F12" s="25" t="s">
        <v>389</v>
      </c>
      <c r="G12" s="25" t="s">
        <v>394</v>
      </c>
      <c r="H12" s="25">
        <v>-32</v>
      </c>
      <c r="I12" s="25" t="s">
        <v>397</v>
      </c>
    </row>
    <row r="13" spans="2:9" x14ac:dyDescent="0.25">
      <c r="B13" s="25">
        <v>106</v>
      </c>
      <c r="C13" s="25" t="s">
        <v>379</v>
      </c>
      <c r="D13" s="25">
        <v>23</v>
      </c>
      <c r="E13" s="25" t="s">
        <v>384</v>
      </c>
      <c r="F13" s="25" t="s">
        <v>386</v>
      </c>
      <c r="G13" s="25" t="s">
        <v>395</v>
      </c>
      <c r="H13" s="25">
        <v>85</v>
      </c>
      <c r="I13" s="25" t="s">
        <v>398</v>
      </c>
    </row>
    <row r="14" spans="2:9" x14ac:dyDescent="0.25">
      <c r="B14" s="25">
        <v>111</v>
      </c>
      <c r="C14" s="25" t="s">
        <v>380</v>
      </c>
      <c r="D14" s="25">
        <v>27</v>
      </c>
      <c r="E14" s="25" t="s">
        <v>383</v>
      </c>
      <c r="F14" s="25" t="s">
        <v>388</v>
      </c>
      <c r="G14" s="25" t="s">
        <v>393</v>
      </c>
      <c r="H14" s="25">
        <v>76</v>
      </c>
      <c r="I14" s="25" t="s">
        <v>398</v>
      </c>
    </row>
    <row r="15" spans="2:9" x14ac:dyDescent="0.25">
      <c r="B15" s="25">
        <v>105</v>
      </c>
      <c r="C15" s="25" t="s">
        <v>381</v>
      </c>
      <c r="D15" s="25">
        <v>22</v>
      </c>
      <c r="E15" s="25" t="s">
        <v>383</v>
      </c>
      <c r="F15" s="25" t="s">
        <v>388</v>
      </c>
      <c r="G15" s="25" t="s">
        <v>391</v>
      </c>
      <c r="H15" s="25">
        <v>-67</v>
      </c>
      <c r="I15" s="25" t="s">
        <v>398</v>
      </c>
    </row>
    <row r="16" spans="2:9" x14ac:dyDescent="0.25">
      <c r="B16" s="25">
        <v>110</v>
      </c>
      <c r="C16" s="25" t="s">
        <v>382</v>
      </c>
      <c r="D16" s="25">
        <v>25</v>
      </c>
      <c r="E16" s="25" t="s">
        <v>384</v>
      </c>
      <c r="F16" s="25" t="s">
        <v>389</v>
      </c>
      <c r="G16" s="25" t="s">
        <v>390</v>
      </c>
      <c r="H16" s="25">
        <v>59</v>
      </c>
      <c r="I16" s="25" t="s">
        <v>398</v>
      </c>
    </row>
    <row r="20" spans="2:9" x14ac:dyDescent="0.25">
      <c r="B20" s="54" t="s">
        <v>400</v>
      </c>
      <c r="C20" s="54"/>
      <c r="D20" s="54"/>
      <c r="E20" s="54"/>
      <c r="F20" s="54"/>
    </row>
    <row r="21" spans="2:9" ht="14.4" thickBot="1" x14ac:dyDescent="0.3"/>
    <row r="22" spans="2:9" ht="14.4" thickBot="1" x14ac:dyDescent="0.3">
      <c r="B22" s="27" t="s">
        <v>364</v>
      </c>
      <c r="C22" s="28" t="s">
        <v>365</v>
      </c>
      <c r="D22" s="28" t="s">
        <v>366</v>
      </c>
      <c r="E22" s="28" t="s">
        <v>367</v>
      </c>
      <c r="F22" s="28" t="s">
        <v>368</v>
      </c>
      <c r="G22" s="28" t="s">
        <v>369</v>
      </c>
      <c r="H22" s="28" t="s">
        <v>370</v>
      </c>
      <c r="I22" s="29" t="s">
        <v>371</v>
      </c>
    </row>
    <row r="23" spans="2:9" x14ac:dyDescent="0.25">
      <c r="B23" s="26">
        <v>102</v>
      </c>
      <c r="C23" s="26" t="s">
        <v>372</v>
      </c>
      <c r="D23" s="26">
        <v>23</v>
      </c>
      <c r="E23" s="26" t="s">
        <v>383</v>
      </c>
      <c r="F23" s="26" t="s">
        <v>385</v>
      </c>
      <c r="G23" s="26" t="s">
        <v>390</v>
      </c>
      <c r="H23" s="26">
        <v>90</v>
      </c>
      <c r="I23" s="26" t="s">
        <v>396</v>
      </c>
    </row>
    <row r="24" spans="2:9" x14ac:dyDescent="0.25">
      <c r="B24" s="25">
        <v>109</v>
      </c>
      <c r="C24" s="25" t="s">
        <v>373</v>
      </c>
      <c r="D24" s="25">
        <v>30</v>
      </c>
      <c r="E24" s="25" t="s">
        <v>383</v>
      </c>
      <c r="F24" s="25" t="s">
        <v>385</v>
      </c>
      <c r="G24" s="25" t="s">
        <v>391</v>
      </c>
      <c r="H24" s="25">
        <v>65</v>
      </c>
      <c r="I24" s="25" t="s">
        <v>396</v>
      </c>
    </row>
    <row r="25" spans="2:9" x14ac:dyDescent="0.25">
      <c r="B25" s="25">
        <v>107</v>
      </c>
      <c r="C25" s="25" t="s">
        <v>374</v>
      </c>
      <c r="D25" s="25">
        <v>28</v>
      </c>
      <c r="E25" s="25" t="s">
        <v>383</v>
      </c>
      <c r="F25" s="25" t="s">
        <v>386</v>
      </c>
      <c r="G25" s="25" t="s">
        <v>392</v>
      </c>
      <c r="H25" s="25">
        <v>80</v>
      </c>
      <c r="I25" s="25" t="s">
        <v>396</v>
      </c>
    </row>
    <row r="26" spans="2:9" x14ac:dyDescent="0.25">
      <c r="B26" s="25">
        <v>108</v>
      </c>
      <c r="C26" s="25" t="s">
        <v>375</v>
      </c>
      <c r="D26" s="25">
        <v>24</v>
      </c>
      <c r="E26" s="25" t="s">
        <v>383</v>
      </c>
      <c r="F26" s="25" t="s">
        <v>387</v>
      </c>
      <c r="G26" s="25" t="s">
        <v>392</v>
      </c>
      <c r="H26" s="25">
        <v>96</v>
      </c>
      <c r="I26" s="25" t="s">
        <v>397</v>
      </c>
    </row>
    <row r="27" spans="2:9" x14ac:dyDescent="0.25">
      <c r="B27" s="25">
        <v>103</v>
      </c>
      <c r="C27" s="25" t="s">
        <v>376</v>
      </c>
      <c r="D27" s="25">
        <v>26</v>
      </c>
      <c r="E27" s="25" t="s">
        <v>384</v>
      </c>
      <c r="F27" s="25" t="s">
        <v>387</v>
      </c>
      <c r="G27" s="25" t="s">
        <v>393</v>
      </c>
      <c r="H27" s="25">
        <v>87</v>
      </c>
      <c r="I27" s="25" t="s">
        <v>397</v>
      </c>
    </row>
    <row r="28" spans="2:9" x14ac:dyDescent="0.25">
      <c r="B28" s="25">
        <v>101</v>
      </c>
      <c r="C28" s="25" t="s">
        <v>377</v>
      </c>
      <c r="D28" s="25">
        <v>25</v>
      </c>
      <c r="E28" s="25" t="s">
        <v>384</v>
      </c>
      <c r="F28" s="25" t="s">
        <v>388</v>
      </c>
      <c r="G28" s="25" t="s">
        <v>394</v>
      </c>
      <c r="H28" s="25">
        <v>56</v>
      </c>
      <c r="I28" s="25" t="s">
        <v>397</v>
      </c>
    </row>
    <row r="29" spans="2:9" x14ac:dyDescent="0.25">
      <c r="B29" s="25">
        <v>104</v>
      </c>
      <c r="C29" s="25" t="s">
        <v>378</v>
      </c>
      <c r="D29" s="25">
        <v>27</v>
      </c>
      <c r="E29" s="25" t="s">
        <v>383</v>
      </c>
      <c r="F29" s="25" t="s">
        <v>389</v>
      </c>
      <c r="G29" s="25" t="s">
        <v>394</v>
      </c>
      <c r="H29" s="25">
        <v>-32</v>
      </c>
      <c r="I29" s="25" t="s">
        <v>397</v>
      </c>
    </row>
    <row r="30" spans="2:9" x14ac:dyDescent="0.25">
      <c r="B30" s="25">
        <v>106</v>
      </c>
      <c r="C30" s="25" t="s">
        <v>379</v>
      </c>
      <c r="D30" s="25">
        <v>23</v>
      </c>
      <c r="E30" s="25" t="s">
        <v>384</v>
      </c>
      <c r="F30" s="25" t="s">
        <v>386</v>
      </c>
      <c r="G30" s="25" t="s">
        <v>395</v>
      </c>
      <c r="H30" s="25">
        <v>85</v>
      </c>
      <c r="I30" s="25" t="s">
        <v>398</v>
      </c>
    </row>
    <row r="31" spans="2:9" x14ac:dyDescent="0.25">
      <c r="B31" s="25">
        <v>111</v>
      </c>
      <c r="C31" s="25" t="s">
        <v>380</v>
      </c>
      <c r="D31" s="25">
        <v>27</v>
      </c>
      <c r="E31" s="25" t="s">
        <v>383</v>
      </c>
      <c r="F31" s="25" t="s">
        <v>388</v>
      </c>
      <c r="G31" s="25" t="s">
        <v>393</v>
      </c>
      <c r="H31" s="25">
        <v>76</v>
      </c>
      <c r="I31" s="25" t="s">
        <v>398</v>
      </c>
    </row>
    <row r="32" spans="2:9" x14ac:dyDescent="0.25">
      <c r="B32" s="25">
        <v>105</v>
      </c>
      <c r="C32" s="25" t="s">
        <v>381</v>
      </c>
      <c r="D32" s="25">
        <v>22</v>
      </c>
      <c r="E32" s="25" t="s">
        <v>383</v>
      </c>
      <c r="F32" s="25" t="s">
        <v>388</v>
      </c>
      <c r="G32" s="25" t="s">
        <v>391</v>
      </c>
      <c r="H32" s="25">
        <v>-67</v>
      </c>
      <c r="I32" s="25" t="s">
        <v>398</v>
      </c>
    </row>
    <row r="33" spans="2:12" x14ac:dyDescent="0.25">
      <c r="B33" s="25">
        <v>110</v>
      </c>
      <c r="C33" s="25" t="s">
        <v>382</v>
      </c>
      <c r="D33" s="25">
        <v>25</v>
      </c>
      <c r="E33" s="25" t="s">
        <v>384</v>
      </c>
      <c r="F33" s="25" t="s">
        <v>389</v>
      </c>
      <c r="G33" s="25" t="s">
        <v>390</v>
      </c>
      <c r="H33" s="25">
        <v>59</v>
      </c>
      <c r="I33" s="25" t="s">
        <v>398</v>
      </c>
    </row>
    <row r="37" spans="2:12" x14ac:dyDescent="0.25">
      <c r="B37" s="54" t="s">
        <v>401</v>
      </c>
      <c r="C37" s="54"/>
      <c r="D37" s="54"/>
      <c r="E37" s="54"/>
      <c r="F37" s="54"/>
    </row>
    <row r="38" spans="2:12" ht="14.4" thickBot="1" x14ac:dyDescent="0.3"/>
    <row r="39" spans="2:12" ht="14.4" thickBot="1" x14ac:dyDescent="0.3">
      <c r="B39" s="27" t="s">
        <v>364</v>
      </c>
      <c r="C39" s="28" t="s">
        <v>365</v>
      </c>
      <c r="D39" s="28" t="s">
        <v>366</v>
      </c>
      <c r="E39" s="28" t="s">
        <v>367</v>
      </c>
      <c r="F39" s="28" t="s">
        <v>368</v>
      </c>
      <c r="G39" s="28" t="s">
        <v>369</v>
      </c>
      <c r="H39" s="28" t="s">
        <v>370</v>
      </c>
      <c r="I39" s="29" t="s">
        <v>371</v>
      </c>
      <c r="K39" s="55" t="s">
        <v>402</v>
      </c>
      <c r="L39" s="56"/>
    </row>
    <row r="40" spans="2:12" x14ac:dyDescent="0.25">
      <c r="B40" s="26">
        <v>102</v>
      </c>
      <c r="C40" s="26" t="s">
        <v>372</v>
      </c>
      <c r="D40" s="26">
        <v>23</v>
      </c>
      <c r="E40" s="26" t="s">
        <v>383</v>
      </c>
      <c r="F40" s="26" t="s">
        <v>385</v>
      </c>
      <c r="G40" s="26" t="s">
        <v>390</v>
      </c>
      <c r="H40" s="26">
        <v>90</v>
      </c>
      <c r="I40" s="26" t="s">
        <v>396</v>
      </c>
      <c r="K40" s="32" t="s">
        <v>403</v>
      </c>
      <c r="L40" s="33" t="s">
        <v>404</v>
      </c>
    </row>
    <row r="41" spans="2:12" x14ac:dyDescent="0.25">
      <c r="B41" s="25">
        <v>109</v>
      </c>
      <c r="C41" s="25" t="s">
        <v>373</v>
      </c>
      <c r="D41" s="25">
        <v>30</v>
      </c>
      <c r="E41" s="25" t="s">
        <v>383</v>
      </c>
      <c r="F41" s="25" t="s">
        <v>385</v>
      </c>
      <c r="G41" s="25" t="s">
        <v>391</v>
      </c>
      <c r="H41" s="25">
        <v>65</v>
      </c>
      <c r="I41" s="25" t="s">
        <v>396</v>
      </c>
      <c r="K41" s="31" t="s">
        <v>405</v>
      </c>
      <c r="L41" s="30" t="s">
        <v>408</v>
      </c>
    </row>
    <row r="42" spans="2:12" x14ac:dyDescent="0.25">
      <c r="B42" s="25">
        <v>107</v>
      </c>
      <c r="C42" s="25" t="s">
        <v>374</v>
      </c>
      <c r="D42" s="25">
        <v>28</v>
      </c>
      <c r="E42" s="25" t="s">
        <v>383</v>
      </c>
      <c r="F42" s="25" t="s">
        <v>386</v>
      </c>
      <c r="G42" s="25" t="s">
        <v>392</v>
      </c>
      <c r="H42" s="25">
        <v>80</v>
      </c>
      <c r="I42" s="25" t="s">
        <v>396</v>
      </c>
      <c r="K42" s="31" t="s">
        <v>406</v>
      </c>
      <c r="L42" s="30" t="s">
        <v>407</v>
      </c>
    </row>
    <row r="43" spans="2:12" x14ac:dyDescent="0.25">
      <c r="B43" s="25">
        <v>108</v>
      </c>
      <c r="C43" s="25" t="s">
        <v>375</v>
      </c>
      <c r="D43" s="25">
        <v>24</v>
      </c>
      <c r="E43" s="25" t="s">
        <v>383</v>
      </c>
      <c r="F43" s="25" t="s">
        <v>387</v>
      </c>
      <c r="G43" s="25" t="s">
        <v>392</v>
      </c>
      <c r="H43" s="25">
        <v>96</v>
      </c>
      <c r="I43" s="25" t="s">
        <v>397</v>
      </c>
    </row>
    <row r="44" spans="2:12" x14ac:dyDescent="0.25">
      <c r="B44" s="25">
        <v>103</v>
      </c>
      <c r="C44" s="25" t="s">
        <v>376</v>
      </c>
      <c r="D44" s="25">
        <v>26</v>
      </c>
      <c r="E44" s="25" t="s">
        <v>384</v>
      </c>
      <c r="F44" s="25" t="s">
        <v>387</v>
      </c>
      <c r="G44" s="25" t="s">
        <v>393</v>
      </c>
      <c r="H44" s="25">
        <v>87</v>
      </c>
      <c r="I44" s="25" t="s">
        <v>397</v>
      </c>
    </row>
    <row r="45" spans="2:12" x14ac:dyDescent="0.25">
      <c r="B45" s="25">
        <v>101</v>
      </c>
      <c r="C45" s="25" t="s">
        <v>377</v>
      </c>
      <c r="D45" s="25">
        <v>25</v>
      </c>
      <c r="E45" s="25" t="s">
        <v>384</v>
      </c>
      <c r="F45" s="25" t="s">
        <v>388</v>
      </c>
      <c r="G45" s="25" t="s">
        <v>394</v>
      </c>
      <c r="H45" s="25">
        <v>56</v>
      </c>
      <c r="I45" s="25" t="s">
        <v>397</v>
      </c>
    </row>
    <row r="46" spans="2:12" x14ac:dyDescent="0.25">
      <c r="B46" s="25">
        <v>104</v>
      </c>
      <c r="C46" s="25" t="s">
        <v>378</v>
      </c>
      <c r="D46" s="25">
        <v>27</v>
      </c>
      <c r="E46" s="25" t="s">
        <v>383</v>
      </c>
      <c r="F46" s="25" t="s">
        <v>389</v>
      </c>
      <c r="G46" s="25" t="s">
        <v>394</v>
      </c>
      <c r="H46" s="25">
        <v>-32</v>
      </c>
      <c r="I46" s="25" t="s">
        <v>397</v>
      </c>
    </row>
    <row r="47" spans="2:12" x14ac:dyDescent="0.25">
      <c r="B47" s="25">
        <v>106</v>
      </c>
      <c r="C47" s="25" t="s">
        <v>379</v>
      </c>
      <c r="D47" s="25">
        <v>23</v>
      </c>
      <c r="E47" s="25" t="s">
        <v>384</v>
      </c>
      <c r="F47" s="25" t="s">
        <v>386</v>
      </c>
      <c r="G47" s="25" t="s">
        <v>395</v>
      </c>
      <c r="H47" s="25">
        <v>85</v>
      </c>
      <c r="I47" s="25" t="s">
        <v>398</v>
      </c>
    </row>
    <row r="48" spans="2:12" x14ac:dyDescent="0.25">
      <c r="B48" s="25">
        <v>111</v>
      </c>
      <c r="C48" s="25" t="s">
        <v>380</v>
      </c>
      <c r="D48" s="25">
        <v>27</v>
      </c>
      <c r="E48" s="25" t="s">
        <v>383</v>
      </c>
      <c r="F48" s="25" t="s">
        <v>388</v>
      </c>
      <c r="G48" s="25" t="s">
        <v>393</v>
      </c>
      <c r="H48" s="25">
        <v>76</v>
      </c>
      <c r="I48" s="25" t="s">
        <v>398</v>
      </c>
    </row>
    <row r="49" spans="2:9" x14ac:dyDescent="0.25">
      <c r="B49" s="25">
        <v>105</v>
      </c>
      <c r="C49" s="25" t="s">
        <v>381</v>
      </c>
      <c r="D49" s="25">
        <v>22</v>
      </c>
      <c r="E49" s="25" t="s">
        <v>383</v>
      </c>
      <c r="F49" s="25" t="s">
        <v>388</v>
      </c>
      <c r="G49" s="25" t="s">
        <v>391</v>
      </c>
      <c r="H49" s="25">
        <v>-67</v>
      </c>
      <c r="I49" s="25" t="s">
        <v>398</v>
      </c>
    </row>
    <row r="50" spans="2:9" x14ac:dyDescent="0.25">
      <c r="B50" s="25">
        <v>110</v>
      </c>
      <c r="C50" s="25" t="s">
        <v>382</v>
      </c>
      <c r="D50" s="25">
        <v>25</v>
      </c>
      <c r="E50" s="25" t="s">
        <v>384</v>
      </c>
      <c r="F50" s="25" t="s">
        <v>389</v>
      </c>
      <c r="G50" s="25" t="s">
        <v>390</v>
      </c>
      <c r="H50" s="25">
        <v>59</v>
      </c>
      <c r="I50" s="25" t="s">
        <v>398</v>
      </c>
    </row>
  </sheetData>
  <autoFilter ref="B5:I5" xr:uid="{AA646E49-8B7B-446B-AAF4-3DFFB38A7E3F}"/>
  <mergeCells count="4">
    <mergeCell ref="B3:F3"/>
    <mergeCell ref="B20:F20"/>
    <mergeCell ref="B37:F37"/>
    <mergeCell ref="K39:L39"/>
  </mergeCells>
  <conditionalFormatting sqref="H6:H16">
    <cfRule type="dataBar" priority="8">
      <dataBar>
        <cfvo type="min"/>
        <cfvo type="max"/>
        <color rgb="FF63C384"/>
      </dataBar>
      <extLst>
        <ext xmlns:x14="http://schemas.microsoft.com/office/spreadsheetml/2009/9/main" uri="{B025F937-C7B1-47D3-B67F-A62EFF666E3E}">
          <x14:id>{9D02C0D2-8A78-41E3-9FBE-84D1D55B3683}</x14:id>
        </ext>
      </extLst>
    </cfRule>
    <cfRule type="dataBar" priority="10">
      <dataBar>
        <cfvo type="min"/>
        <cfvo type="max"/>
        <color rgb="FFFF555A"/>
      </dataBar>
      <extLst>
        <ext xmlns:x14="http://schemas.microsoft.com/office/spreadsheetml/2009/9/main" uri="{B025F937-C7B1-47D3-B67F-A62EFF666E3E}">
          <x14:id>{46D1FEAD-77EC-426B-A04D-091DF54CC511}</x14:id>
        </ext>
      </extLst>
    </cfRule>
  </conditionalFormatting>
  <conditionalFormatting sqref="H23:H33">
    <cfRule type="colorScale" priority="5">
      <colorScale>
        <cfvo type="min"/>
        <cfvo type="percentile" val="50"/>
        <cfvo type="max"/>
        <color rgb="FFF8696B"/>
        <color rgb="FFFFEB84"/>
        <color rgb="FF63BE7B"/>
      </colorScale>
    </cfRule>
  </conditionalFormatting>
  <conditionalFormatting sqref="H40:H50">
    <cfRule type="iconSet" priority="1">
      <iconSet iconSet="3Symbols2">
        <cfvo type="percent" val="0"/>
        <cfvo type="num" val="50"/>
        <cfvo type="num" val="75"/>
      </iconSet>
    </cfRule>
    <cfRule type="iconSet" priority="2">
      <iconSet>
        <cfvo type="percent" val="0"/>
        <cfvo type="percent" val="74"/>
        <cfvo type="percent" val="75" gte="0"/>
      </iconSet>
    </cfRule>
  </conditionalFormatting>
  <pageMargins left="0.7" right="0.7" top="0.75" bottom="0.75" header="0.3" footer="0.3"/>
  <pageSetup paperSize="9" orientation="portrait" horizontalDpi="1200" verticalDpi="0" r:id="rId1"/>
  <extLst>
    <ext xmlns:x14="http://schemas.microsoft.com/office/spreadsheetml/2009/9/main" uri="{78C0D931-6437-407d-A8EE-F0AAD7539E65}">
      <x14:conditionalFormattings>
        <x14:conditionalFormatting xmlns:xm="http://schemas.microsoft.com/office/excel/2006/main">
          <x14:cfRule type="dataBar" id="{9D02C0D2-8A78-41E3-9FBE-84D1D55B3683}">
            <x14:dataBar minLength="0" maxLength="100" gradient="0">
              <x14:cfvo type="autoMin"/>
              <x14:cfvo type="autoMax"/>
              <x14:negativeFillColor rgb="FFFF0000"/>
              <x14:axisColor rgb="FF000000"/>
            </x14:dataBar>
          </x14:cfRule>
          <x14:cfRule type="dataBar" id="{46D1FEAD-77EC-426B-A04D-091DF54CC511}">
            <x14:dataBar minLength="0" maxLength="100" gradient="0">
              <x14:cfvo type="autoMin"/>
              <x14:cfvo type="autoMax"/>
              <x14:negativeFillColor rgb="FFFF0000"/>
              <x14:axisColor rgb="FF000000"/>
            </x14:dataBar>
          </x14:cfRule>
          <xm:sqref>H6:H16</xm:sqref>
        </x14:conditionalFormatting>
        <x14:conditionalFormatting xmlns:xm="http://schemas.microsoft.com/office/excel/2006/main">
          <x14:cfRule type="iconSet" priority="3" id="{27953AF0-B0CF-4614-9B60-93949B9FDB48}">
            <x14:iconSet iconSet="3Triangles">
              <x14:cfvo type="percent">
                <xm:f>0</xm:f>
              </x14:cfvo>
              <x14:cfvo type="percent">
                <xm:f>33</xm:f>
              </x14:cfvo>
              <x14:cfvo type="percent">
                <xm:f>67</xm:f>
              </x14:cfvo>
            </x14:iconSet>
          </x14:cfRule>
          <xm:sqref>H40:H50</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2CD61-D7D6-43EE-8C9F-DBE2C2FCCBE8}">
  <dimension ref="B2:Q48"/>
  <sheetViews>
    <sheetView tabSelected="1" topLeftCell="B1" zoomScale="85" zoomScaleNormal="85" workbookViewId="0">
      <selection activeCell="B12" sqref="B12:I23"/>
    </sheetView>
  </sheetViews>
  <sheetFormatPr defaultRowHeight="15.6" x14ac:dyDescent="0.3"/>
  <cols>
    <col min="1" max="1" width="8.88671875" style="34"/>
    <col min="2" max="2" width="12" style="34" customWidth="1"/>
    <col min="3" max="3" width="17.6640625" style="34" bestFit="1" customWidth="1"/>
    <col min="4" max="4" width="14.88671875" style="34" bestFit="1" customWidth="1"/>
    <col min="5" max="5" width="36.6640625" style="34" customWidth="1"/>
    <col min="6" max="6" width="24.88671875" style="34" customWidth="1"/>
    <col min="7" max="7" width="12.88671875" style="34" customWidth="1"/>
    <col min="8" max="8" width="12.6640625" style="34" bestFit="1" customWidth="1"/>
    <col min="9" max="9" width="14.77734375" style="34" bestFit="1" customWidth="1"/>
    <col min="10" max="10" width="13.109375" style="34" bestFit="1" customWidth="1"/>
    <col min="11" max="11" width="13.5546875" style="34" customWidth="1"/>
    <col min="12" max="12" width="23.6640625" style="34" customWidth="1"/>
    <col min="13" max="13" width="14.77734375" style="34" bestFit="1" customWidth="1"/>
    <col min="14" max="16384" width="8.88671875" style="34"/>
  </cols>
  <sheetData>
    <row r="2" spans="2:17" ht="16.2" thickBot="1" x14ac:dyDescent="0.35"/>
    <row r="3" spans="2:17" ht="16.2" thickBot="1" x14ac:dyDescent="0.35">
      <c r="B3" s="38" t="s">
        <v>409</v>
      </c>
      <c r="C3" s="39" t="s">
        <v>410</v>
      </c>
      <c r="D3" s="40"/>
      <c r="E3" s="40"/>
      <c r="F3" s="39" t="s">
        <v>413</v>
      </c>
      <c r="G3" s="41"/>
    </row>
    <row r="4" spans="2:17" ht="16.2" thickBot="1" x14ac:dyDescent="0.35">
      <c r="K4" s="58" t="s">
        <v>415</v>
      </c>
      <c r="L4" s="59"/>
    </row>
    <row r="5" spans="2:17" ht="16.2" thickBot="1" x14ac:dyDescent="0.35">
      <c r="B5" s="42" t="s">
        <v>411</v>
      </c>
      <c r="C5" s="43" t="s">
        <v>412</v>
      </c>
      <c r="D5" s="44"/>
      <c r="E5" s="44"/>
      <c r="F5" s="43" t="s">
        <v>414</v>
      </c>
      <c r="G5" s="45"/>
      <c r="K5" s="60" t="s">
        <v>416</v>
      </c>
      <c r="L5" s="60"/>
    </row>
    <row r="6" spans="2:17" x14ac:dyDescent="0.3">
      <c r="K6" s="60" t="s">
        <v>417</v>
      </c>
      <c r="L6" s="60"/>
    </row>
    <row r="7" spans="2:17" x14ac:dyDescent="0.3">
      <c r="B7" s="35" t="s">
        <v>428</v>
      </c>
      <c r="K7" s="37"/>
      <c r="L7" s="37"/>
    </row>
    <row r="8" spans="2:17" x14ac:dyDescent="0.3">
      <c r="K8" s="37"/>
      <c r="L8" s="37"/>
    </row>
    <row r="9" spans="2:17" x14ac:dyDescent="0.3">
      <c r="B9" s="35" t="s">
        <v>427</v>
      </c>
      <c r="K9" s="37"/>
      <c r="L9" s="37"/>
    </row>
    <row r="10" spans="2:17" x14ac:dyDescent="0.3">
      <c r="B10" s="34" t="s">
        <v>423</v>
      </c>
      <c r="E10" s="34" t="s">
        <v>424</v>
      </c>
    </row>
    <row r="11" spans="2:17" ht="16.2" thickBot="1" x14ac:dyDescent="0.35">
      <c r="K11" s="61" t="s">
        <v>421</v>
      </c>
      <c r="L11" s="61"/>
      <c r="M11" s="61"/>
      <c r="N11" s="61"/>
    </row>
    <row r="12" spans="2:17" ht="16.2" thickBot="1" x14ac:dyDescent="0.35">
      <c r="B12" s="27" t="s">
        <v>364</v>
      </c>
      <c r="C12" s="28" t="s">
        <v>365</v>
      </c>
      <c r="D12" s="28" t="s">
        <v>366</v>
      </c>
      <c r="E12" s="28" t="s">
        <v>367</v>
      </c>
      <c r="F12" s="28" t="s">
        <v>368</v>
      </c>
      <c r="G12" s="28" t="s">
        <v>369</v>
      </c>
      <c r="H12" s="28" t="s">
        <v>370</v>
      </c>
      <c r="I12" s="29" t="s">
        <v>371</v>
      </c>
    </row>
    <row r="13" spans="2:17" x14ac:dyDescent="0.3">
      <c r="B13" s="26">
        <v>102</v>
      </c>
      <c r="C13" s="26" t="s">
        <v>372</v>
      </c>
      <c r="D13" s="26">
        <v>23</v>
      </c>
      <c r="E13" s="26" t="s">
        <v>383</v>
      </c>
      <c r="F13" s="26" t="s">
        <v>385</v>
      </c>
      <c r="G13" s="26" t="s">
        <v>390</v>
      </c>
      <c r="H13" s="26">
        <v>90</v>
      </c>
      <c r="I13" s="26" t="s">
        <v>396</v>
      </c>
      <c r="K13" s="35" t="s">
        <v>364</v>
      </c>
      <c r="L13" s="46">
        <v>103</v>
      </c>
      <c r="M13" s="61" t="s">
        <v>426</v>
      </c>
      <c r="N13" s="61"/>
      <c r="O13" s="61"/>
    </row>
    <row r="14" spans="2:17" ht="18" customHeight="1" x14ac:dyDescent="0.3">
      <c r="B14" s="25">
        <v>109</v>
      </c>
      <c r="C14" s="25" t="s">
        <v>373</v>
      </c>
      <c r="D14" s="25">
        <v>30</v>
      </c>
      <c r="E14" s="25" t="s">
        <v>383</v>
      </c>
      <c r="F14" s="25" t="s">
        <v>385</v>
      </c>
      <c r="G14" s="25" t="s">
        <v>391</v>
      </c>
      <c r="H14" s="25">
        <v>65</v>
      </c>
      <c r="I14" s="25" t="s">
        <v>396</v>
      </c>
      <c r="M14" s="62"/>
      <c r="N14" s="62"/>
      <c r="O14" s="62"/>
      <c r="P14" s="62"/>
      <c r="Q14" s="62"/>
    </row>
    <row r="15" spans="2:17" x14ac:dyDescent="0.3">
      <c r="B15" s="25">
        <v>107</v>
      </c>
      <c r="C15" s="25" t="s">
        <v>374</v>
      </c>
      <c r="D15" s="25">
        <v>28</v>
      </c>
      <c r="E15" s="25" t="s">
        <v>383</v>
      </c>
      <c r="F15" s="25" t="s">
        <v>386</v>
      </c>
      <c r="G15" s="25" t="s">
        <v>392</v>
      </c>
      <c r="H15" s="25">
        <v>80</v>
      </c>
      <c r="I15" s="25" t="s">
        <v>396</v>
      </c>
      <c r="K15" s="34" t="s">
        <v>418</v>
      </c>
      <c r="L15" s="36" t="str">
        <f>VLOOKUP($L$13, $B$12:$I$23, 2, FALSE)</f>
        <v>Anshu</v>
      </c>
      <c r="N15" s="61" t="s">
        <v>422</v>
      </c>
      <c r="O15" s="61"/>
      <c r="P15" s="61"/>
      <c r="Q15" s="61"/>
    </row>
    <row r="16" spans="2:17" x14ac:dyDescent="0.3">
      <c r="B16" s="25">
        <v>108</v>
      </c>
      <c r="C16" s="25" t="s">
        <v>375</v>
      </c>
      <c r="D16" s="25">
        <v>24</v>
      </c>
      <c r="E16" s="25" t="s">
        <v>383</v>
      </c>
      <c r="F16" s="25" t="s">
        <v>387</v>
      </c>
      <c r="G16" s="25" t="s">
        <v>392</v>
      </c>
      <c r="H16" s="25">
        <v>96</v>
      </c>
      <c r="I16" s="25" t="s">
        <v>397</v>
      </c>
      <c r="K16" s="34" t="s">
        <v>419</v>
      </c>
      <c r="L16" s="36" t="str">
        <f>VLOOKUP($L$13, $B$12:$I$23, 5, FALSE)</f>
        <v>FSD</v>
      </c>
    </row>
    <row r="17" spans="2:13" x14ac:dyDescent="0.3">
      <c r="B17" s="25">
        <v>103</v>
      </c>
      <c r="C17" s="25" t="s">
        <v>376</v>
      </c>
      <c r="D17" s="25">
        <v>26</v>
      </c>
      <c r="E17" s="25" t="s">
        <v>384</v>
      </c>
      <c r="F17" s="25" t="s">
        <v>387</v>
      </c>
      <c r="G17" s="25" t="s">
        <v>393</v>
      </c>
      <c r="H17" s="25">
        <v>87</v>
      </c>
      <c r="I17" s="25" t="s">
        <v>397</v>
      </c>
      <c r="K17" s="34" t="s">
        <v>420</v>
      </c>
      <c r="L17" s="36" t="str">
        <f>VLOOKUP($L$13, $B$12:$I$23, 4, FALSE)</f>
        <v>Female</v>
      </c>
    </row>
    <row r="18" spans="2:13" x14ac:dyDescent="0.3">
      <c r="B18" s="25">
        <v>101</v>
      </c>
      <c r="C18" s="25" t="s">
        <v>377</v>
      </c>
      <c r="D18" s="25">
        <v>25</v>
      </c>
      <c r="E18" s="25" t="s">
        <v>384</v>
      </c>
      <c r="F18" s="25" t="s">
        <v>388</v>
      </c>
      <c r="G18" s="25" t="s">
        <v>394</v>
      </c>
      <c r="H18" s="25">
        <v>56</v>
      </c>
      <c r="I18" s="25" t="s">
        <v>397</v>
      </c>
      <c r="K18" s="34" t="s">
        <v>369</v>
      </c>
      <c r="L18" s="36" t="str">
        <f>VLOOKUP($L$13, $B$12:$I$23, 6, FALSE)</f>
        <v>Pune</v>
      </c>
    </row>
    <row r="19" spans="2:13" x14ac:dyDescent="0.3">
      <c r="B19" s="25">
        <v>104</v>
      </c>
      <c r="C19" s="25" t="s">
        <v>378</v>
      </c>
      <c r="D19" s="25">
        <v>27</v>
      </c>
      <c r="E19" s="25" t="s">
        <v>383</v>
      </c>
      <c r="F19" s="25" t="s">
        <v>389</v>
      </c>
      <c r="G19" s="25" t="s">
        <v>394</v>
      </c>
      <c r="H19" s="25">
        <v>-32</v>
      </c>
      <c r="I19" s="25" t="s">
        <v>397</v>
      </c>
      <c r="K19" s="34" t="s">
        <v>366</v>
      </c>
      <c r="L19" s="36">
        <f>VLOOKUP($L$13, $B$12:$I$23, 3, FALSE)</f>
        <v>26</v>
      </c>
    </row>
    <row r="20" spans="2:13" x14ac:dyDescent="0.3">
      <c r="B20" s="25">
        <v>106</v>
      </c>
      <c r="C20" s="25" t="s">
        <v>379</v>
      </c>
      <c r="D20" s="25">
        <v>23</v>
      </c>
      <c r="E20" s="25" t="s">
        <v>384</v>
      </c>
      <c r="F20" s="25" t="s">
        <v>386</v>
      </c>
      <c r="G20" s="25" t="s">
        <v>395</v>
      </c>
      <c r="H20" s="25">
        <v>85</v>
      </c>
      <c r="I20" s="25" t="s">
        <v>398</v>
      </c>
    </row>
    <row r="21" spans="2:13" x14ac:dyDescent="0.3">
      <c r="B21" s="25">
        <v>111</v>
      </c>
      <c r="C21" s="25" t="s">
        <v>380</v>
      </c>
      <c r="D21" s="25">
        <v>27</v>
      </c>
      <c r="E21" s="25" t="s">
        <v>383</v>
      </c>
      <c r="F21" s="25" t="s">
        <v>388</v>
      </c>
      <c r="G21" s="25" t="s">
        <v>393</v>
      </c>
      <c r="H21" s="25">
        <v>76</v>
      </c>
      <c r="I21" s="25" t="s">
        <v>398</v>
      </c>
    </row>
    <row r="22" spans="2:13" x14ac:dyDescent="0.3">
      <c r="B22" s="25">
        <v>105</v>
      </c>
      <c r="C22" s="25" t="s">
        <v>381</v>
      </c>
      <c r="D22" s="25">
        <v>22</v>
      </c>
      <c r="E22" s="25" t="s">
        <v>383</v>
      </c>
      <c r="F22" s="25" t="s">
        <v>388</v>
      </c>
      <c r="G22" s="25" t="s">
        <v>391</v>
      </c>
      <c r="H22" s="25">
        <v>-67</v>
      </c>
      <c r="I22" s="25" t="s">
        <v>398</v>
      </c>
    </row>
    <row r="23" spans="2:13" x14ac:dyDescent="0.3">
      <c r="B23" s="25">
        <v>110</v>
      </c>
      <c r="C23" s="25" t="s">
        <v>382</v>
      </c>
      <c r="D23" s="25">
        <v>25</v>
      </c>
      <c r="E23" s="25" t="s">
        <v>384</v>
      </c>
      <c r="F23" s="25" t="s">
        <v>389</v>
      </c>
      <c r="G23" s="25" t="s">
        <v>390</v>
      </c>
      <c r="H23" s="25">
        <v>59</v>
      </c>
      <c r="I23" s="25" t="s">
        <v>398</v>
      </c>
    </row>
    <row r="26" spans="2:13" x14ac:dyDescent="0.3">
      <c r="C26" s="57" t="s">
        <v>425</v>
      </c>
      <c r="D26" s="57"/>
      <c r="E26" s="57"/>
      <c r="F26" s="57"/>
      <c r="G26" s="57"/>
      <c r="H26" s="57"/>
    </row>
    <row r="30" spans="2:13" ht="16.2" thickBot="1" x14ac:dyDescent="0.35"/>
    <row r="31" spans="2:13" ht="16.2" thickBot="1" x14ac:dyDescent="0.35">
      <c r="B31" s="27" t="s">
        <v>364</v>
      </c>
      <c r="C31" s="26">
        <v>102</v>
      </c>
      <c r="D31" s="25">
        <v>109</v>
      </c>
      <c r="E31" s="25">
        <v>107</v>
      </c>
      <c r="F31" s="25">
        <v>108</v>
      </c>
      <c r="G31" s="25">
        <v>103</v>
      </c>
      <c r="H31" s="25">
        <v>101</v>
      </c>
      <c r="I31" s="25">
        <v>104</v>
      </c>
      <c r="J31" s="25">
        <v>106</v>
      </c>
      <c r="K31" s="25">
        <v>111</v>
      </c>
      <c r="L31" s="25">
        <v>105</v>
      </c>
      <c r="M31" s="25">
        <v>110</v>
      </c>
    </row>
    <row r="32" spans="2:13" ht="16.2" thickBot="1" x14ac:dyDescent="0.35">
      <c r="B32" s="28" t="s">
        <v>365</v>
      </c>
      <c r="C32" s="26" t="s">
        <v>372</v>
      </c>
      <c r="D32" s="25" t="s">
        <v>373</v>
      </c>
      <c r="E32" s="25" t="s">
        <v>374</v>
      </c>
      <c r="F32" s="25" t="s">
        <v>375</v>
      </c>
      <c r="G32" s="25" t="s">
        <v>376</v>
      </c>
      <c r="H32" s="25" t="s">
        <v>377</v>
      </c>
      <c r="I32" s="25" t="s">
        <v>378</v>
      </c>
      <c r="J32" s="25" t="s">
        <v>379</v>
      </c>
      <c r="K32" s="25" t="s">
        <v>380</v>
      </c>
      <c r="L32" s="25" t="s">
        <v>381</v>
      </c>
      <c r="M32" s="25" t="s">
        <v>382</v>
      </c>
    </row>
    <row r="33" spans="2:13" ht="16.2" thickBot="1" x14ac:dyDescent="0.35">
      <c r="B33" s="28" t="s">
        <v>366</v>
      </c>
      <c r="C33" s="26">
        <v>23</v>
      </c>
      <c r="D33" s="25">
        <v>30</v>
      </c>
      <c r="E33" s="25">
        <v>28</v>
      </c>
      <c r="F33" s="25">
        <v>24</v>
      </c>
      <c r="G33" s="25">
        <v>26</v>
      </c>
      <c r="H33" s="25">
        <v>25</v>
      </c>
      <c r="I33" s="25">
        <v>27</v>
      </c>
      <c r="J33" s="25">
        <v>23</v>
      </c>
      <c r="K33" s="25">
        <v>27</v>
      </c>
      <c r="L33" s="25">
        <v>22</v>
      </c>
      <c r="M33" s="25">
        <v>25</v>
      </c>
    </row>
    <row r="34" spans="2:13" ht="16.2" thickBot="1" x14ac:dyDescent="0.35">
      <c r="B34" s="28" t="s">
        <v>367</v>
      </c>
      <c r="C34" s="26" t="s">
        <v>383</v>
      </c>
      <c r="D34" s="25" t="s">
        <v>383</v>
      </c>
      <c r="E34" s="25" t="s">
        <v>383</v>
      </c>
      <c r="F34" s="25" t="s">
        <v>383</v>
      </c>
      <c r="G34" s="25" t="s">
        <v>384</v>
      </c>
      <c r="H34" s="25" t="s">
        <v>384</v>
      </c>
      <c r="I34" s="25" t="s">
        <v>383</v>
      </c>
      <c r="J34" s="25" t="s">
        <v>384</v>
      </c>
      <c r="K34" s="25" t="s">
        <v>383</v>
      </c>
      <c r="L34" s="25" t="s">
        <v>383</v>
      </c>
      <c r="M34" s="25" t="s">
        <v>384</v>
      </c>
    </row>
    <row r="35" spans="2:13" ht="16.2" thickBot="1" x14ac:dyDescent="0.35">
      <c r="B35" s="28" t="s">
        <v>368</v>
      </c>
      <c r="C35" s="26" t="s">
        <v>385</v>
      </c>
      <c r="D35" s="25" t="s">
        <v>385</v>
      </c>
      <c r="E35" s="25" t="s">
        <v>386</v>
      </c>
      <c r="F35" s="25" t="s">
        <v>387</v>
      </c>
      <c r="G35" s="25" t="s">
        <v>387</v>
      </c>
      <c r="H35" s="25" t="s">
        <v>388</v>
      </c>
      <c r="I35" s="25" t="s">
        <v>389</v>
      </c>
      <c r="J35" s="25" t="s">
        <v>386</v>
      </c>
      <c r="K35" s="25" t="s">
        <v>388</v>
      </c>
      <c r="L35" s="25" t="s">
        <v>388</v>
      </c>
      <c r="M35" s="25" t="s">
        <v>389</v>
      </c>
    </row>
    <row r="36" spans="2:13" ht="16.2" thickBot="1" x14ac:dyDescent="0.35">
      <c r="B36" s="28" t="s">
        <v>369</v>
      </c>
      <c r="C36" s="26" t="s">
        <v>390</v>
      </c>
      <c r="D36" s="25" t="s">
        <v>391</v>
      </c>
      <c r="E36" s="25" t="s">
        <v>392</v>
      </c>
      <c r="F36" s="25" t="s">
        <v>392</v>
      </c>
      <c r="G36" s="25" t="s">
        <v>393</v>
      </c>
      <c r="H36" s="25" t="s">
        <v>394</v>
      </c>
      <c r="I36" s="25" t="s">
        <v>394</v>
      </c>
      <c r="J36" s="25" t="s">
        <v>395</v>
      </c>
      <c r="K36" s="25" t="s">
        <v>393</v>
      </c>
      <c r="L36" s="25" t="s">
        <v>391</v>
      </c>
      <c r="M36" s="25" t="s">
        <v>390</v>
      </c>
    </row>
    <row r="37" spans="2:13" ht="16.2" thickBot="1" x14ac:dyDescent="0.35">
      <c r="B37" s="28" t="s">
        <v>370</v>
      </c>
      <c r="C37" s="26">
        <v>90</v>
      </c>
      <c r="D37" s="25">
        <v>65</v>
      </c>
      <c r="E37" s="25">
        <v>80</v>
      </c>
      <c r="F37" s="25">
        <v>96</v>
      </c>
      <c r="G37" s="25">
        <v>87</v>
      </c>
      <c r="H37" s="25">
        <v>56</v>
      </c>
      <c r="I37" s="25">
        <v>-32</v>
      </c>
      <c r="J37" s="25">
        <v>85</v>
      </c>
      <c r="K37" s="25">
        <v>76</v>
      </c>
      <c r="L37" s="25">
        <v>-67</v>
      </c>
      <c r="M37" s="25">
        <v>59</v>
      </c>
    </row>
    <row r="38" spans="2:13" ht="16.2" thickBot="1" x14ac:dyDescent="0.35">
      <c r="B38" s="29" t="s">
        <v>371</v>
      </c>
      <c r="C38" s="26" t="s">
        <v>396</v>
      </c>
      <c r="D38" s="25" t="s">
        <v>396</v>
      </c>
      <c r="E38" s="25" t="s">
        <v>396</v>
      </c>
      <c r="F38" s="25" t="s">
        <v>397</v>
      </c>
      <c r="G38" s="25" t="s">
        <v>397</v>
      </c>
      <c r="H38" s="25" t="s">
        <v>397</v>
      </c>
      <c r="I38" s="25" t="s">
        <v>397</v>
      </c>
      <c r="J38" s="25" t="s">
        <v>398</v>
      </c>
      <c r="K38" s="25" t="s">
        <v>398</v>
      </c>
      <c r="L38" s="25" t="s">
        <v>398</v>
      </c>
      <c r="M38" s="25" t="s">
        <v>398</v>
      </c>
    </row>
    <row r="40" spans="2:13" x14ac:dyDescent="0.3">
      <c r="D40" s="34" t="s">
        <v>411</v>
      </c>
    </row>
    <row r="42" spans="2:13" x14ac:dyDescent="0.3">
      <c r="C42" s="35" t="s">
        <v>364</v>
      </c>
      <c r="D42" s="34">
        <v>101</v>
      </c>
    </row>
    <row r="44" spans="2:13" x14ac:dyDescent="0.3">
      <c r="C44" s="34" t="s">
        <v>418</v>
      </c>
      <c r="D44" s="34" t="str">
        <f>HLOOKUP($D$42, $B$31:$M$38, 2, FALSE)</f>
        <v>Mandira</v>
      </c>
    </row>
    <row r="45" spans="2:13" x14ac:dyDescent="0.3">
      <c r="C45" s="34" t="s">
        <v>419</v>
      </c>
      <c r="D45" s="34" t="str">
        <f>HLOOKUP($D$42, $B$31:$M$38, 5, FALSE)</f>
        <v>Data Analytics</v>
      </c>
    </row>
    <row r="46" spans="2:13" x14ac:dyDescent="0.3">
      <c r="C46" s="34" t="s">
        <v>420</v>
      </c>
      <c r="D46" s="34" t="str">
        <f>HLOOKUP($D$42, $B$31:$M$38, 4, FALSE)</f>
        <v>Female</v>
      </c>
    </row>
    <row r="47" spans="2:13" x14ac:dyDescent="0.3">
      <c r="C47" s="34" t="s">
        <v>369</v>
      </c>
      <c r="D47" s="34" t="str">
        <f>HLOOKUP($D$42, $B$31:$M$38, 6, FALSE)</f>
        <v>Mumbai</v>
      </c>
    </row>
    <row r="48" spans="2:13" x14ac:dyDescent="0.3">
      <c r="C48" s="34" t="s">
        <v>366</v>
      </c>
      <c r="D48" s="34">
        <f>HLOOKUP($D$42, $B$31:$M$38, 3, FALSE)</f>
        <v>25</v>
      </c>
    </row>
  </sheetData>
  <mergeCells count="8">
    <mergeCell ref="C26:H26"/>
    <mergeCell ref="K4:L4"/>
    <mergeCell ref="K5:L5"/>
    <mergeCell ref="K6:L6"/>
    <mergeCell ref="K11:N11"/>
    <mergeCell ref="M13:O13"/>
    <mergeCell ref="N15:Q15"/>
    <mergeCell ref="M14:Q14"/>
  </mergeCells>
  <dataValidations count="1">
    <dataValidation type="list" allowBlank="1" showInputMessage="1" showErrorMessage="1" sqref="L13" xr:uid="{7E6335CD-A88B-4DFD-B971-A2FA4FDDF739}">
      <formula1>$B$13:$B$23</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Table</vt:lpstr>
      <vt:lpstr>Main Data</vt:lpstr>
      <vt:lpstr>Conditional Formatting</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Ripsy Bondia</dc:creator>
  <cp:lastModifiedBy>Aryan Jaiswal</cp:lastModifiedBy>
  <dcterms:created xsi:type="dcterms:W3CDTF">2020-10-06T06:19:21Z</dcterms:created>
  <dcterms:modified xsi:type="dcterms:W3CDTF">2025-11-20T16:01:11Z</dcterms:modified>
</cp:coreProperties>
</file>