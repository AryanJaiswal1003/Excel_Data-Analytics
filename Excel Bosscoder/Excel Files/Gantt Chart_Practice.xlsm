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ha\Desktop\"/>
    </mc:Choice>
  </mc:AlternateContent>
  <xr:revisionPtr revIDLastSave="0" documentId="13_ncr:1_{D174B45F-3601-43C3-ACCA-A5C7D401E1C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Question 1" sheetId="9" r:id="rId1"/>
    <sheet name="Question 2" sheetId="5" r:id="rId2"/>
  </sheets>
  <definedNames>
    <definedName name="Brand_Name">'Question 2'!$B$6:$B$36</definedName>
    <definedName name="Memory">'Question 2'!$D$6:$D$36</definedName>
    <definedName name="Screen_Size">'Question 2'!$F$6:$F$36</definedName>
    <definedName name="Storage">'Question 2'!$E$6:$E$36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9" l="1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K22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K20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K18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K16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K21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K19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K17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K15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K14" i="9"/>
  <c r="K13" i="9"/>
  <c r="D6" i="9"/>
  <c r="D5" i="9"/>
  <c r="D4" i="9"/>
  <c r="U29" i="5"/>
  <c r="U27" i="5"/>
  <c r="Q30" i="5"/>
  <c r="Q29" i="5"/>
  <c r="Q28" i="5"/>
  <c r="Q2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I15" i="9"/>
  <c r="D8" i="9" s="1"/>
  <c r="I17" i="9"/>
  <c r="I19" i="9"/>
  <c r="I21" i="9"/>
  <c r="I13" i="9"/>
  <c r="H15" i="9"/>
  <c r="H17" i="9"/>
  <c r="D7" i="9" s="1"/>
  <c r="H19" i="9"/>
  <c r="H21" i="9"/>
  <c r="H13" i="9"/>
  <c r="G15" i="9"/>
  <c r="G17" i="9"/>
  <c r="G19" i="9"/>
  <c r="G21" i="9"/>
  <c r="G13" i="9"/>
  <c r="F15" i="9"/>
  <c r="F17" i="9"/>
  <c r="F19" i="9"/>
  <c r="F21" i="9"/>
  <c r="F13" i="9"/>
  <c r="Q26" i="5"/>
  <c r="Q25" i="5"/>
  <c r="Q24" i="5"/>
  <c r="Q23" i="5"/>
  <c r="L12" i="9"/>
  <c r="L13" i="9" s="1"/>
  <c r="D9" i="9" l="1"/>
  <c r="M12" i="9"/>
  <c r="M13" i="9" s="1"/>
  <c r="N12" i="9" l="1"/>
  <c r="N13" i="9" s="1"/>
  <c r="O12" i="9" l="1"/>
  <c r="O13" i="9" s="1"/>
  <c r="P12" i="9" l="1"/>
  <c r="P13" i="9" s="1"/>
  <c r="Q12" i="9" l="1"/>
  <c r="Q13" i="9" s="1"/>
  <c r="R29" i="5"/>
  <c r="R27" i="5"/>
  <c r="R12" i="9" l="1"/>
  <c r="R13" i="9" s="1"/>
  <c r="S12" i="9" l="1"/>
  <c r="S13" i="9" s="1"/>
  <c r="T12" i="9" l="1"/>
  <c r="T13" i="9" s="1"/>
  <c r="U12" i="9" l="1"/>
  <c r="U13" i="9" s="1"/>
  <c r="V12" i="9" l="1"/>
  <c r="V13" i="9" s="1"/>
  <c r="W12" i="9" l="1"/>
  <c r="W13" i="9" s="1"/>
  <c r="X12" i="9" l="1"/>
  <c r="X13" i="9" s="1"/>
  <c r="Y12" i="9" l="1"/>
  <c r="Y13" i="9" s="1"/>
  <c r="Z12" i="9" l="1"/>
  <c r="Z13" i="9" s="1"/>
  <c r="AA12" i="9" l="1"/>
  <c r="AA13" i="9" s="1"/>
  <c r="AB12" i="9" l="1"/>
  <c r="AB13" i="9" s="1"/>
  <c r="AC12" i="9" l="1"/>
  <c r="AC13" i="9" s="1"/>
  <c r="AD12" i="9" l="1"/>
  <c r="AD13" i="9" s="1"/>
  <c r="AE12" i="9" l="1"/>
  <c r="AE13" i="9" s="1"/>
  <c r="AF12" i="9" l="1"/>
  <c r="AF13" i="9" s="1"/>
  <c r="AG12" i="9" l="1"/>
  <c r="AG13" i="9" s="1"/>
  <c r="AH12" i="9" l="1"/>
  <c r="AH13" i="9" s="1"/>
  <c r="AI12" i="9" l="1"/>
  <c r="AI13" i="9" s="1"/>
  <c r="AJ12" i="9" l="1"/>
  <c r="AJ13" i="9" s="1"/>
  <c r="AK12" i="9" l="1"/>
  <c r="AK13" i="9" s="1"/>
  <c r="AL12" i="9" l="1"/>
  <c r="AL13" i="9" s="1"/>
  <c r="AM12" i="9" l="1"/>
  <c r="AM13" i="9" s="1"/>
  <c r="AN12" i="9" l="1"/>
  <c r="AN13" i="9" s="1"/>
  <c r="AO12" i="9" l="1"/>
  <c r="AO13" i="9" s="1"/>
  <c r="AP12" i="9" l="1"/>
  <c r="AP13" i="9" s="1"/>
  <c r="AQ12" i="9" l="1"/>
  <c r="AQ13" i="9" s="1"/>
  <c r="AR12" i="9" l="1"/>
  <c r="AR13" i="9" s="1"/>
  <c r="AS12" i="9" l="1"/>
  <c r="AS13" i="9" s="1"/>
  <c r="AT12" i="9" l="1"/>
  <c r="AT13" i="9" s="1"/>
  <c r="AU12" i="9" l="1"/>
  <c r="AU13" i="9" s="1"/>
  <c r="AV12" i="9" l="1"/>
  <c r="AV13" i="9" s="1"/>
  <c r="AW12" i="9" l="1"/>
  <c r="AW13" i="9" s="1"/>
  <c r="AX12" i="9" l="1"/>
  <c r="AX13" i="9" s="1"/>
  <c r="AY12" i="9" l="1"/>
  <c r="AY13" i="9" s="1"/>
  <c r="AZ12" i="9" l="1"/>
  <c r="AZ13" i="9" s="1"/>
  <c r="BA12" i="9" l="1"/>
  <c r="BA13" i="9" s="1"/>
  <c r="BB12" i="9" l="1"/>
  <c r="BB13" i="9" s="1"/>
  <c r="BC12" i="9" l="1"/>
  <c r="BC13" i="9" s="1"/>
  <c r="BD12" i="9" l="1"/>
  <c r="BD13" i="9" s="1"/>
  <c r="BE12" i="9" l="1"/>
  <c r="BE13" i="9" s="1"/>
  <c r="BF12" i="9" l="1"/>
  <c r="BF13" i="9" s="1"/>
  <c r="BG12" i="9" l="1"/>
  <c r="BG13" i="9" s="1"/>
  <c r="BH12" i="9" l="1"/>
  <c r="BH13" i="9" s="1"/>
  <c r="BI12" i="9" l="1"/>
  <c r="BI13" i="9" s="1"/>
  <c r="BJ12" i="9" l="1"/>
  <c r="BJ13" i="9" s="1"/>
  <c r="BK12" i="9" l="1"/>
  <c r="BK13" i="9" s="1"/>
  <c r="BL12" i="9" l="1"/>
  <c r="BL13" i="9" s="1"/>
  <c r="BM12" i="9" l="1"/>
  <c r="BM13" i="9" s="1"/>
  <c r="BN12" i="9" l="1"/>
  <c r="BN13" i="9" s="1"/>
  <c r="BO12" i="9" l="1"/>
  <c r="BO13" i="9" s="1"/>
  <c r="BP12" i="9" l="1"/>
  <c r="BP13" i="9" s="1"/>
  <c r="BQ12" i="9" l="1"/>
  <c r="BQ13" i="9" s="1"/>
</calcChain>
</file>

<file path=xl/sharedStrings.xml><?xml version="1.0" encoding="utf-8"?>
<sst xmlns="http://schemas.openxmlformats.org/spreadsheetml/2006/main" count="404" uniqueCount="149">
  <si>
    <t>S. No.</t>
  </si>
  <si>
    <t>Description</t>
  </si>
  <si>
    <t>XP Phone Catalogue</t>
  </si>
  <si>
    <t>Charging Set</t>
  </si>
  <si>
    <t>Type</t>
  </si>
  <si>
    <t>Fast Charging</t>
  </si>
  <si>
    <t>Wireless</t>
  </si>
  <si>
    <t>Set 1</t>
  </si>
  <si>
    <t>USB</t>
  </si>
  <si>
    <t>Y</t>
  </si>
  <si>
    <t>N</t>
  </si>
  <si>
    <t>Model No.</t>
  </si>
  <si>
    <t>Brand Name</t>
  </si>
  <si>
    <t>Processor</t>
  </si>
  <si>
    <t>Memory</t>
  </si>
  <si>
    <t>Storage</t>
  </si>
  <si>
    <t>Screen Size</t>
  </si>
  <si>
    <t>Refresh Rate</t>
  </si>
  <si>
    <t>SIM Config.</t>
  </si>
  <si>
    <t>Set 2</t>
  </si>
  <si>
    <t>AX - 01</t>
  </si>
  <si>
    <t>Alpha</t>
  </si>
  <si>
    <t>Quad-core 2.0 GHz</t>
  </si>
  <si>
    <t>4 GB</t>
  </si>
  <si>
    <t>256 GB</t>
  </si>
  <si>
    <t>6.7 in</t>
  </si>
  <si>
    <t>60 Hz</t>
  </si>
  <si>
    <t>Set 3</t>
  </si>
  <si>
    <t>SM-1</t>
  </si>
  <si>
    <t>C Type</t>
  </si>
  <si>
    <t>AX - 02</t>
  </si>
  <si>
    <t>Octa-core 2.5 GHz</t>
  </si>
  <si>
    <t>8 GB</t>
  </si>
  <si>
    <t>90 Hz</t>
  </si>
  <si>
    <t>SM-2</t>
  </si>
  <si>
    <t>Set 4</t>
  </si>
  <si>
    <t>AX - 03</t>
  </si>
  <si>
    <t>Octa-core 2.4 GHz</t>
  </si>
  <si>
    <t>6 GB</t>
  </si>
  <si>
    <t>128 GB</t>
  </si>
  <si>
    <t>SM-3</t>
  </si>
  <si>
    <t>AX - 04</t>
  </si>
  <si>
    <t>Quad-core 1.3 GHz</t>
  </si>
  <si>
    <t>2 GB</t>
  </si>
  <si>
    <t>32 GB</t>
  </si>
  <si>
    <t>5.7 in</t>
  </si>
  <si>
    <t>AX - 05</t>
  </si>
  <si>
    <t>64 GB</t>
  </si>
  <si>
    <t>6.1 in</t>
  </si>
  <si>
    <t>120 Hz</t>
  </si>
  <si>
    <t>SM-4</t>
  </si>
  <si>
    <t>SIM 1</t>
  </si>
  <si>
    <t>SIM 2</t>
  </si>
  <si>
    <t>AX - 06</t>
  </si>
  <si>
    <t>5.1 in</t>
  </si>
  <si>
    <t>4G</t>
  </si>
  <si>
    <t>NA</t>
  </si>
  <si>
    <t>AX - 07</t>
  </si>
  <si>
    <t>AX - 08</t>
  </si>
  <si>
    <t>5G</t>
  </si>
  <si>
    <t>BP - 01</t>
  </si>
  <si>
    <t>Beta</t>
  </si>
  <si>
    <t>BP - 02</t>
  </si>
  <si>
    <t>BP - 03</t>
  </si>
  <si>
    <t>BP - 04</t>
  </si>
  <si>
    <t>Key Phone Specifications for Customer Queries</t>
  </si>
  <si>
    <t>BP - 05</t>
  </si>
  <si>
    <t>BP - 06</t>
  </si>
  <si>
    <t>BP - 07</t>
  </si>
  <si>
    <t>BP - 08</t>
  </si>
  <si>
    <t>BP - 09</t>
  </si>
  <si>
    <t>DMS 11</t>
  </si>
  <si>
    <t>Delta</t>
  </si>
  <si>
    <t>DMS 12</t>
  </si>
  <si>
    <t>DMS 13</t>
  </si>
  <si>
    <t>DMS 14</t>
  </si>
  <si>
    <t>DMS 15</t>
  </si>
  <si>
    <t>DMS 16</t>
  </si>
  <si>
    <t>DMS 17</t>
  </si>
  <si>
    <t>DMS 18</t>
  </si>
  <si>
    <t>GSP 35</t>
  </si>
  <si>
    <t>Gamma</t>
  </si>
  <si>
    <t>GSP 36</t>
  </si>
  <si>
    <t>GSP 37</t>
  </si>
  <si>
    <t>GSP 38</t>
  </si>
  <si>
    <t>GSP 39</t>
  </si>
  <si>
    <t>Table 4</t>
  </si>
  <si>
    <t>In Table 4, Find related data such as Brand Name, Storage, Memory, Charging Type, SIM 1 type, etc. based on the Model No.</t>
  </si>
  <si>
    <t>Project Start Date</t>
  </si>
  <si>
    <t>Project End Date</t>
  </si>
  <si>
    <t>Total Activities</t>
  </si>
  <si>
    <t>Activities Start Delayed</t>
  </si>
  <si>
    <t>Activities Completed on Time</t>
  </si>
  <si>
    <t>Activities Completed Late</t>
  </si>
  <si>
    <t>Activity Description</t>
  </si>
  <si>
    <t>Planned Start Date</t>
  </si>
  <si>
    <t>Planned Completion Date</t>
  </si>
  <si>
    <t>Actual Start Date</t>
  </si>
  <si>
    <t>Actual Completion Date</t>
  </si>
  <si>
    <t>Planned Days</t>
  </si>
  <si>
    <t>Actual Days</t>
  </si>
  <si>
    <t>Delayed Start</t>
  </si>
  <si>
    <t>Delayed Completion</t>
  </si>
  <si>
    <t>Activity 1</t>
  </si>
  <si>
    <t>Activity 2</t>
  </si>
  <si>
    <t>Activity 3</t>
  </si>
  <si>
    <t>Activity 4</t>
  </si>
  <si>
    <t>Activity 5</t>
  </si>
  <si>
    <t>TASK</t>
  </si>
  <si>
    <t>1. Add formulas to automatically get values in Cells, D6, D7, D8, D9 and D10</t>
  </si>
  <si>
    <t>2. Add formulas to get values for cells in Planned Days and Actual Days</t>
  </si>
  <si>
    <t>4. Plot actual and planned in the cells corresponding to the dates against each activity and they should change with the change in any of the dates</t>
  </si>
  <si>
    <t>3. Delayed Start &amp; Completion should have Yes or No and colour indication as green background for No and red background for Yes</t>
  </si>
  <si>
    <t xml:space="preserve">Planned </t>
  </si>
  <si>
    <t>Actual</t>
  </si>
  <si>
    <t>Yes/ No</t>
  </si>
  <si>
    <t>Yes/No</t>
  </si>
  <si>
    <t>Gantt Chart:</t>
  </si>
  <si>
    <t>Project Manager tracks the Project's progress via Gantt Chart. The Progess is shown via Horizontal Bars.</t>
  </si>
  <si>
    <t>Charging Set:</t>
  </si>
  <si>
    <t>Merged Columns via Vlookup</t>
  </si>
  <si>
    <t>SIM Config:</t>
  </si>
  <si>
    <t>Easy/Alternate Method to Merging</t>
  </si>
  <si>
    <t>Planned Days:</t>
  </si>
  <si>
    <t>Planned Completion Date - Planned Start Date</t>
  </si>
  <si>
    <t>Actual Days:</t>
  </si>
  <si>
    <t>Actual Completion Date - Actual Start Date</t>
  </si>
  <si>
    <t>Delayed Start:</t>
  </si>
  <si>
    <t>If Actual Start Date &gt; Planned Start Date then "Yes" else "No"</t>
  </si>
  <si>
    <t>Delayed Completion:</t>
  </si>
  <si>
    <t>If Actual Completion Date &gt; Planned Completion Date then "Yes" else "No"</t>
  </si>
  <si>
    <t xml:space="preserve"> =MIN(D13:D22)</t>
  </si>
  <si>
    <t xml:space="preserve"> =MAX(E13:E22)</t>
  </si>
  <si>
    <t xml:space="preserve"> =COUNTA(A13:A22)</t>
  </si>
  <si>
    <t xml:space="preserve"> =COUNTIFS(H13:H22, "Yes")</t>
  </si>
  <si>
    <t xml:space="preserve"> =COUNTIF(I13:I22, "No")</t>
  </si>
  <si>
    <t xml:space="preserve"> =COUNTIF(I13:I22, "Yes")</t>
  </si>
  <si>
    <t>Creating Horizontal Bars</t>
  </si>
  <si>
    <t xml:space="preserve"> =IF(AND(K12&gt;=$B$13, K12&lt;=$C$13), "Y", "")</t>
  </si>
  <si>
    <t>Planned:</t>
  </si>
  <si>
    <t>Actual:</t>
  </si>
  <si>
    <t xml:space="preserve"> =IF(AND(K12&gt;=$D$13, K12&lt;=$E$13), "N", "")</t>
  </si>
  <si>
    <t>Step 1:</t>
  </si>
  <si>
    <t>Step 2:</t>
  </si>
  <si>
    <t>Step 3:</t>
  </si>
  <si>
    <t>Under Home Tab -&gt; Conditional Formatting -&gt; Highlight Cell Rules -&gt; Text that Contain</t>
  </si>
  <si>
    <t>Format the Cell with "Y" with Red and "N" with Green.</t>
  </si>
  <si>
    <t>Step 4:</t>
  </si>
  <si>
    <t>Drag till the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</si>
</sst>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9]dd\ mmmm\ yyyy;@"/>
    <numFmt numFmtId="165" formatCode="d/m/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00206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wrapText="1"/>
    </xf>
    <xf numFmtId="14" fontId="1" fillId="0" borderId="0" xfId="0" applyNumberFormat="1" applyFont="1"/>
    <xf numFmtId="0" fontId="1" fillId="6" borderId="6" xfId="0" applyFont="1" applyFill="1" applyBorder="1" applyAlignment="1">
      <alignment horizontal="center" vertical="center" wrapText="1"/>
    </xf>
    <xf numFmtId="165" fontId="1" fillId="6" borderId="6" xfId="0" applyNumberFormat="1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 wrapText="1"/>
    </xf>
    <xf numFmtId="165" fontId="1" fillId="6" borderId="17" xfId="0" applyNumberFormat="1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center" vertical="center" wrapText="1"/>
    </xf>
    <xf numFmtId="165" fontId="6" fillId="7" borderId="6" xfId="0" applyNumberFormat="1" applyFont="1" applyFill="1" applyBorder="1" applyAlignment="1">
      <alignment horizontal="center" vertical="center" textRotation="90"/>
    </xf>
    <xf numFmtId="0" fontId="6" fillId="3" borderId="1" xfId="0" applyFont="1" applyFill="1" applyBorder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2" borderId="1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center" vertical="top"/>
    </xf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6" fillId="2" borderId="2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/>
    </xf>
    <xf numFmtId="0" fontId="7" fillId="0" borderId="12" xfId="0" applyFont="1" applyBorder="1"/>
    <xf numFmtId="0" fontId="7" fillId="0" borderId="12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9" borderId="2" xfId="0" applyFont="1" applyFill="1" applyBorder="1" applyAlignment="1">
      <alignment horizontal="left" vertical="top"/>
    </xf>
    <xf numFmtId="0" fontId="2" fillId="9" borderId="16" xfId="0" applyFont="1" applyFill="1" applyBorder="1" applyAlignment="1">
      <alignment horizontal="left" vertical="top"/>
    </xf>
    <xf numFmtId="0" fontId="2" fillId="9" borderId="3" xfId="0" applyFont="1" applyFill="1" applyBorder="1" applyAlignment="1">
      <alignment horizontal="left" vertical="top"/>
    </xf>
    <xf numFmtId="0" fontId="1" fillId="0" borderId="0" xfId="0" applyFont="1" applyAlignment="1">
      <alignment horizontal="center"/>
    </xf>
    <xf numFmtId="0" fontId="8" fillId="0" borderId="1" xfId="0" applyFont="1" applyBorder="1"/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top"/>
    </xf>
    <xf numFmtId="0" fontId="6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0" xfId="0" applyFont="1" applyFill="1"/>
    <xf numFmtId="0" fontId="6" fillId="0" borderId="0" xfId="0" applyFont="1" applyFill="1" applyBorder="1" applyAlignment="1">
      <alignment horizontal="center" vertical="top"/>
    </xf>
    <xf numFmtId="0" fontId="1" fillId="0" borderId="0" xfId="0" applyFont="1" applyBorder="1"/>
    <xf numFmtId="0" fontId="2" fillId="0" borderId="0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center"/>
    </xf>
    <xf numFmtId="0" fontId="6" fillId="0" borderId="1" xfId="0" applyFont="1" applyBorder="1"/>
    <xf numFmtId="1" fontId="3" fillId="10" borderId="6" xfId="0" applyNumberFormat="1" applyFont="1" applyFill="1" applyBorder="1" applyAlignment="1">
      <alignment horizontal="center" vertical="center" wrapText="1"/>
    </xf>
    <xf numFmtId="1" fontId="3" fillId="10" borderId="17" xfId="0" applyNumberFormat="1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right"/>
    </xf>
    <xf numFmtId="0" fontId="9" fillId="0" borderId="0" xfId="0" applyFont="1" applyAlignment="1">
      <alignment horizontal="center"/>
    </xf>
    <xf numFmtId="0" fontId="10" fillId="11" borderId="1" xfId="0" applyFont="1" applyFill="1" applyBorder="1"/>
    <xf numFmtId="0" fontId="10" fillId="0" borderId="18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164" fontId="6" fillId="14" borderId="2" xfId="0" applyNumberFormat="1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164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164" fontId="3" fillId="0" borderId="6" xfId="0" applyNumberFormat="1" applyFont="1" applyFill="1" applyBorder="1" applyAlignment="1">
      <alignment horizontal="center" vertical="center" wrapText="1"/>
    </xf>
    <xf numFmtId="164" fontId="3" fillId="0" borderId="17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164" fontId="3" fillId="0" borderId="4" xfId="0" applyNumberFormat="1" applyFont="1" applyFill="1" applyBorder="1" applyAlignment="1">
      <alignment horizontal="center" vertical="center" wrapText="1"/>
    </xf>
    <xf numFmtId="164" fontId="3" fillId="0" borderId="7" xfId="0" applyNumberFormat="1" applyFont="1" applyFill="1" applyBorder="1" applyAlignment="1">
      <alignment horizontal="center" vertical="center" wrapText="1"/>
    </xf>
    <xf numFmtId="164" fontId="3" fillId="16" borderId="19" xfId="0" applyNumberFormat="1" applyFont="1" applyFill="1" applyBorder="1" applyAlignment="1">
      <alignment horizontal="center" vertical="top" wrapText="1"/>
    </xf>
    <xf numFmtId="164" fontId="3" fillId="16" borderId="13" xfId="0" applyNumberFormat="1" applyFont="1" applyFill="1" applyBorder="1" applyAlignment="1">
      <alignment horizontal="center" vertical="top" wrapText="1"/>
    </xf>
    <xf numFmtId="164" fontId="3" fillId="12" borderId="19" xfId="0" applyNumberFormat="1" applyFont="1" applyFill="1" applyBorder="1" applyAlignment="1">
      <alignment horizontal="center" vertical="top" wrapText="1"/>
    </xf>
    <xf numFmtId="164" fontId="3" fillId="12" borderId="13" xfId="0" applyNumberFormat="1" applyFont="1" applyFill="1" applyBorder="1" applyAlignment="1">
      <alignment horizontal="center" vertical="top" wrapText="1"/>
    </xf>
    <xf numFmtId="164" fontId="3" fillId="17" borderId="19" xfId="0" applyNumberFormat="1" applyFont="1" applyFill="1" applyBorder="1" applyAlignment="1">
      <alignment horizontal="center" vertical="top" wrapText="1"/>
    </xf>
    <xf numFmtId="164" fontId="3" fillId="17" borderId="13" xfId="0" applyNumberFormat="1" applyFont="1" applyFill="1" applyBorder="1" applyAlignment="1">
      <alignment horizontal="center" vertical="top" wrapText="1"/>
    </xf>
    <xf numFmtId="0" fontId="1" fillId="16" borderId="24" xfId="0" applyFont="1" applyFill="1" applyBorder="1" applyAlignment="1">
      <alignment horizontal="left" vertical="top"/>
    </xf>
    <xf numFmtId="0" fontId="1" fillId="16" borderId="23" xfId="0" applyFont="1" applyFill="1" applyBorder="1" applyAlignment="1">
      <alignment horizontal="left" vertical="top"/>
    </xf>
    <xf numFmtId="0" fontId="1" fillId="16" borderId="20" xfId="0" applyFont="1" applyFill="1" applyBorder="1" applyAlignment="1">
      <alignment horizontal="left" vertical="top"/>
    </xf>
    <xf numFmtId="0" fontId="1" fillId="16" borderId="25" xfId="0" applyFont="1" applyFill="1" applyBorder="1" applyAlignment="1">
      <alignment horizontal="left" vertical="top"/>
    </xf>
    <xf numFmtId="0" fontId="1" fillId="16" borderId="21" xfId="0" applyFont="1" applyFill="1" applyBorder="1" applyAlignment="1">
      <alignment horizontal="left" vertical="top"/>
    </xf>
    <xf numFmtId="0" fontId="1" fillId="16" borderId="22" xfId="0" applyFont="1" applyFill="1" applyBorder="1" applyAlignment="1">
      <alignment horizontal="left" vertical="top"/>
    </xf>
    <xf numFmtId="0" fontId="1" fillId="12" borderId="24" xfId="0" applyFont="1" applyFill="1" applyBorder="1" applyAlignment="1">
      <alignment horizontal="left" vertical="top"/>
    </xf>
    <xf numFmtId="0" fontId="1" fillId="12" borderId="23" xfId="0" applyFont="1" applyFill="1" applyBorder="1" applyAlignment="1">
      <alignment horizontal="left" vertical="top"/>
    </xf>
    <xf numFmtId="0" fontId="1" fillId="12" borderId="20" xfId="0" applyFont="1" applyFill="1" applyBorder="1" applyAlignment="1">
      <alignment horizontal="left" vertical="top"/>
    </xf>
    <xf numFmtId="0" fontId="1" fillId="12" borderId="25" xfId="0" applyFont="1" applyFill="1" applyBorder="1" applyAlignment="1">
      <alignment horizontal="left" vertical="top"/>
    </xf>
    <xf numFmtId="0" fontId="1" fillId="12" borderId="21" xfId="0" applyFont="1" applyFill="1" applyBorder="1" applyAlignment="1">
      <alignment horizontal="left" vertical="top"/>
    </xf>
    <xf numFmtId="0" fontId="1" fillId="12" borderId="22" xfId="0" applyFont="1" applyFill="1" applyBorder="1" applyAlignment="1">
      <alignment horizontal="left" vertical="top"/>
    </xf>
    <xf numFmtId="0" fontId="1" fillId="17" borderId="24" xfId="0" applyFont="1" applyFill="1" applyBorder="1" applyAlignment="1">
      <alignment horizontal="left" vertical="top"/>
    </xf>
    <xf numFmtId="0" fontId="1" fillId="17" borderId="23" xfId="0" applyFont="1" applyFill="1" applyBorder="1" applyAlignment="1">
      <alignment horizontal="left" vertical="top"/>
    </xf>
    <xf numFmtId="0" fontId="1" fillId="17" borderId="20" xfId="0" applyFont="1" applyFill="1" applyBorder="1" applyAlignment="1">
      <alignment horizontal="left" vertical="top"/>
    </xf>
    <xf numFmtId="0" fontId="1" fillId="17" borderId="25" xfId="0" applyFont="1" applyFill="1" applyBorder="1" applyAlignment="1">
      <alignment horizontal="left" vertical="top"/>
    </xf>
    <xf numFmtId="0" fontId="1" fillId="17" borderId="21" xfId="0" applyFont="1" applyFill="1" applyBorder="1" applyAlignment="1">
      <alignment horizontal="left" vertical="top"/>
    </xf>
    <xf numFmtId="0" fontId="1" fillId="17" borderId="22" xfId="0" applyFont="1" applyFill="1" applyBorder="1" applyAlignment="1">
      <alignment horizontal="left" vertical="top"/>
    </xf>
    <xf numFmtId="164" fontId="3" fillId="18" borderId="19" xfId="0" applyNumberFormat="1" applyFont="1" applyFill="1" applyBorder="1" applyAlignment="1">
      <alignment horizontal="center" vertical="top" wrapText="1"/>
    </xf>
    <xf numFmtId="0" fontId="1" fillId="18" borderId="24" xfId="0" applyFont="1" applyFill="1" applyBorder="1" applyAlignment="1">
      <alignment horizontal="left" vertical="top"/>
    </xf>
    <xf numFmtId="0" fontId="1" fillId="18" borderId="23" xfId="0" applyFont="1" applyFill="1" applyBorder="1" applyAlignment="1">
      <alignment horizontal="left" vertical="top"/>
    </xf>
    <xf numFmtId="0" fontId="1" fillId="18" borderId="20" xfId="0" applyFont="1" applyFill="1" applyBorder="1" applyAlignment="1">
      <alignment horizontal="left" vertical="top"/>
    </xf>
    <xf numFmtId="164" fontId="3" fillId="18" borderId="13" xfId="0" applyNumberFormat="1" applyFont="1" applyFill="1" applyBorder="1" applyAlignment="1">
      <alignment horizontal="center" vertical="top" wrapText="1"/>
    </xf>
    <xf numFmtId="0" fontId="1" fillId="18" borderId="25" xfId="0" applyFont="1" applyFill="1" applyBorder="1" applyAlignment="1">
      <alignment horizontal="left" vertical="top"/>
    </xf>
    <xf numFmtId="0" fontId="1" fillId="18" borderId="21" xfId="0" applyFont="1" applyFill="1" applyBorder="1" applyAlignment="1">
      <alignment horizontal="left" vertical="top"/>
    </xf>
    <xf numFmtId="0" fontId="1" fillId="18" borderId="22" xfId="0" applyFont="1" applyFill="1" applyBorder="1" applyAlignment="1">
      <alignment horizontal="left" vertical="top"/>
    </xf>
    <xf numFmtId="164" fontId="3" fillId="8" borderId="19" xfId="0" applyNumberFormat="1" applyFont="1" applyFill="1" applyBorder="1" applyAlignment="1">
      <alignment horizontal="center" vertical="top" wrapText="1"/>
    </xf>
    <xf numFmtId="0" fontId="1" fillId="8" borderId="24" xfId="0" applyFont="1" applyFill="1" applyBorder="1" applyAlignment="1">
      <alignment horizontal="left" vertical="top"/>
    </xf>
    <xf numFmtId="0" fontId="1" fillId="8" borderId="23" xfId="0" applyFont="1" applyFill="1" applyBorder="1" applyAlignment="1">
      <alignment horizontal="left" vertical="top"/>
    </xf>
    <xf numFmtId="0" fontId="1" fillId="8" borderId="20" xfId="0" applyFont="1" applyFill="1" applyBorder="1" applyAlignment="1">
      <alignment horizontal="left" vertical="top"/>
    </xf>
    <xf numFmtId="164" fontId="3" fillId="8" borderId="13" xfId="0" applyNumberFormat="1" applyFont="1" applyFill="1" applyBorder="1" applyAlignment="1">
      <alignment horizontal="center" vertical="top" wrapText="1"/>
    </xf>
    <xf numFmtId="0" fontId="1" fillId="8" borderId="25" xfId="0" applyFont="1" applyFill="1" applyBorder="1" applyAlignment="1">
      <alignment horizontal="left" vertical="top"/>
    </xf>
    <xf numFmtId="0" fontId="1" fillId="8" borderId="21" xfId="0" applyFont="1" applyFill="1" applyBorder="1" applyAlignment="1">
      <alignment horizontal="left" vertical="top"/>
    </xf>
    <xf numFmtId="0" fontId="1" fillId="8" borderId="22" xfId="0" applyFont="1" applyFill="1" applyBorder="1" applyAlignment="1">
      <alignment horizontal="left" vertical="top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5" fillId="16" borderId="2" xfId="0" applyFont="1" applyFill="1" applyBorder="1" applyAlignment="1">
      <alignment horizontal="center" vertical="center"/>
    </xf>
    <xf numFmtId="0" fontId="5" fillId="16" borderId="16" xfId="0" applyFont="1" applyFill="1" applyBorder="1" applyAlignment="1">
      <alignment horizontal="center" vertical="center"/>
    </xf>
    <xf numFmtId="0" fontId="5" fillId="16" borderId="3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34</xdr:row>
      <xdr:rowOff>44823</xdr:rowOff>
    </xdr:from>
    <xdr:to>
      <xdr:col>12</xdr:col>
      <xdr:colOff>286870</xdr:colOff>
      <xdr:row>54</xdr:row>
      <xdr:rowOff>134471</xdr:rowOff>
    </xdr:to>
    <xdr:pic>
      <xdr:nvPicPr>
        <xdr:cNvPr id="2" name="Picture 1" descr="Gantt Chart Budget Template — db-excel.com">
          <a:extLst>
            <a:ext uri="{FF2B5EF4-FFF2-40B4-BE49-F238E27FC236}">
              <a16:creationId xmlns:a16="http://schemas.microsoft.com/office/drawing/2014/main" id="{A6156F4A-DFCB-7B84-86E0-530DB59F3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0188" y="6490447"/>
          <a:ext cx="7521388" cy="367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288471</xdr:colOff>
      <xdr:row>3</xdr:row>
      <xdr:rowOff>21775</xdr:rowOff>
    </xdr:from>
    <xdr:to>
      <xdr:col>12</xdr:col>
      <xdr:colOff>272146</xdr:colOff>
      <xdr:row>4</xdr:row>
      <xdr:rowOff>70760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AFBF0B26-D598-3385-FD6D-C7C87CD43256}"/>
            </a:ext>
          </a:extLst>
        </xdr:cNvPr>
        <xdr:cNvSpPr/>
      </xdr:nvSpPr>
      <xdr:spPr>
        <a:xfrm rot="5400000">
          <a:off x="11381015" y="-642255"/>
          <a:ext cx="223157" cy="2596246"/>
        </a:xfrm>
        <a:prstGeom prst="leftBrac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Qling">
      <a:dk1>
        <a:sysClr val="windowText" lastClr="000000"/>
      </a:dk1>
      <a:lt1>
        <a:sysClr val="window" lastClr="FFFFFF"/>
      </a:lt1>
      <a:dk2>
        <a:srgbClr val="44546A"/>
      </a:dk2>
      <a:lt2>
        <a:srgbClr val="E7E7E7"/>
      </a:lt2>
      <a:accent1>
        <a:srgbClr val="0157BB"/>
      </a:accent1>
      <a:accent2>
        <a:srgbClr val="F8772F"/>
      </a:accent2>
      <a:accent3>
        <a:srgbClr val="A5A5A5"/>
      </a:accent3>
      <a:accent4>
        <a:srgbClr val="FED219"/>
      </a:accent4>
      <a:accent5>
        <a:srgbClr val="80ABDD"/>
      </a:accent5>
      <a:accent6>
        <a:srgbClr val="FBBB9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Q34"/>
  <sheetViews>
    <sheetView showGridLines="0" tabSelected="1" topLeftCell="A2" zoomScale="85" zoomScaleNormal="85" workbookViewId="0">
      <selection activeCell="AF5" sqref="AF5"/>
    </sheetView>
  </sheetViews>
  <sheetFormatPr defaultColWidth="8.77734375" defaultRowHeight="13.8" x14ac:dyDescent="0.25"/>
  <cols>
    <col min="1" max="1" width="13.77734375" style="1" customWidth="1"/>
    <col min="2" max="2" width="11.44140625" style="1" customWidth="1"/>
    <col min="3" max="3" width="13" style="1" customWidth="1"/>
    <col min="4" max="4" width="13.44140625" style="1" customWidth="1"/>
    <col min="5" max="5" width="15.33203125" style="1" customWidth="1"/>
    <col min="6" max="9" width="11" style="2" customWidth="1"/>
    <col min="10" max="10" width="11" style="1" customWidth="1"/>
    <col min="11" max="17" width="4.44140625" style="1" bestFit="1" customWidth="1"/>
    <col min="18" max="18" width="5.33203125" style="1" customWidth="1"/>
    <col min="19" max="19" width="5.77734375" style="1" customWidth="1"/>
    <col min="20" max="36" width="4.44140625" style="1" bestFit="1" customWidth="1"/>
    <col min="37" max="37" width="4.6640625" style="1" customWidth="1"/>
    <col min="38" max="39" width="4.44140625" style="1" bestFit="1" customWidth="1"/>
    <col min="40" max="40" width="3.6640625" style="1" customWidth="1"/>
    <col min="41" max="69" width="4.44140625" style="1" bestFit="1" customWidth="1"/>
    <col min="70" max="16384" width="8.77734375" style="1"/>
  </cols>
  <sheetData>
    <row r="1" spans="1:69" x14ac:dyDescent="0.25">
      <c r="F1" s="1"/>
      <c r="G1" s="1"/>
      <c r="H1" s="1"/>
      <c r="I1" s="1"/>
    </row>
    <row r="2" spans="1:69" x14ac:dyDescent="0.25">
      <c r="F2" s="1"/>
      <c r="G2" s="45"/>
      <c r="H2" s="1"/>
      <c r="I2" s="1"/>
    </row>
    <row r="3" spans="1:69" x14ac:dyDescent="0.25">
      <c r="F3" s="1"/>
      <c r="G3" s="1"/>
      <c r="H3" s="1"/>
      <c r="I3" s="1"/>
    </row>
    <row r="4" spans="1:69" ht="15.6" x14ac:dyDescent="0.25">
      <c r="A4" s="35" t="s">
        <v>88</v>
      </c>
      <c r="B4" s="36"/>
      <c r="C4" s="37"/>
      <c r="D4" s="71">
        <f>MIN(D13:D22)</f>
        <v>44564</v>
      </c>
      <c r="E4" s="72"/>
      <c r="F4" s="61" t="s">
        <v>131</v>
      </c>
      <c r="G4" s="62"/>
      <c r="H4" s="62"/>
      <c r="I4" s="62"/>
      <c r="J4" s="131" t="s">
        <v>137</v>
      </c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3"/>
    </row>
    <row r="5" spans="1:69" x14ac:dyDescent="0.25">
      <c r="A5" s="35" t="s">
        <v>89</v>
      </c>
      <c r="B5" s="36"/>
      <c r="C5" s="37"/>
      <c r="D5" s="73">
        <f>MAX(E13:E22)</f>
        <v>44598</v>
      </c>
      <c r="E5" s="74"/>
      <c r="F5" s="61" t="s">
        <v>132</v>
      </c>
      <c r="G5" s="62"/>
      <c r="H5" s="62"/>
      <c r="I5" s="62"/>
      <c r="J5" s="128" t="s">
        <v>142</v>
      </c>
      <c r="K5" s="129" t="s">
        <v>139</v>
      </c>
      <c r="L5" s="129"/>
      <c r="M5" s="129"/>
      <c r="N5" s="129"/>
      <c r="O5" s="76" t="s">
        <v>138</v>
      </c>
      <c r="P5" s="76"/>
      <c r="Q5" s="76"/>
      <c r="R5" s="76"/>
      <c r="S5" s="76"/>
      <c r="T5" s="76"/>
      <c r="U5" s="76"/>
      <c r="V5" s="76"/>
      <c r="W5" s="76"/>
      <c r="X5" s="76" t="s">
        <v>148</v>
      </c>
      <c r="Y5" s="76"/>
      <c r="Z5" s="76"/>
      <c r="AA5" s="76"/>
      <c r="AB5" s="130"/>
      <c r="AC5" s="85"/>
      <c r="AD5" s="82"/>
    </row>
    <row r="6" spans="1:69" x14ac:dyDescent="0.25">
      <c r="A6" s="35" t="s">
        <v>90</v>
      </c>
      <c r="B6" s="36"/>
      <c r="C6" s="37"/>
      <c r="D6" s="63">
        <f>COUNTA(A13:A22)</f>
        <v>5</v>
      </c>
      <c r="E6" s="64"/>
      <c r="F6" s="61" t="s">
        <v>133</v>
      </c>
      <c r="G6" s="62"/>
      <c r="H6" s="62"/>
      <c r="I6" s="62"/>
      <c r="J6" s="55" t="s">
        <v>143</v>
      </c>
      <c r="K6" s="129" t="s">
        <v>140</v>
      </c>
      <c r="L6" s="129"/>
      <c r="M6" s="129"/>
      <c r="N6" s="129"/>
      <c r="O6" s="76" t="s">
        <v>141</v>
      </c>
      <c r="P6" s="76"/>
      <c r="Q6" s="76"/>
      <c r="R6" s="76"/>
      <c r="S6" s="76"/>
      <c r="T6" s="76"/>
      <c r="U6" s="76"/>
      <c r="V6" s="76"/>
      <c r="W6" s="76"/>
      <c r="X6" s="76" t="s">
        <v>148</v>
      </c>
      <c r="Y6" s="76"/>
      <c r="Z6" s="76"/>
      <c r="AA6" s="76"/>
      <c r="AB6" s="75"/>
    </row>
    <row r="7" spans="1:69" ht="14.4" customHeight="1" x14ac:dyDescent="0.25">
      <c r="A7" s="35" t="s">
        <v>91</v>
      </c>
      <c r="B7" s="36"/>
      <c r="C7" s="37"/>
      <c r="D7" s="65">
        <f>COUNTIFS(H13:H22, "Yes")</f>
        <v>3</v>
      </c>
      <c r="E7" s="66"/>
      <c r="F7" s="61" t="s">
        <v>134</v>
      </c>
      <c r="G7" s="62"/>
      <c r="H7" s="62"/>
      <c r="I7" s="62"/>
      <c r="J7" s="55" t="s">
        <v>144</v>
      </c>
      <c r="K7" s="135" t="s">
        <v>145</v>
      </c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7"/>
      <c r="AB7" s="134"/>
      <c r="AC7" s="84"/>
      <c r="AD7" s="84"/>
      <c r="AE7" s="84"/>
    </row>
    <row r="8" spans="1:69" x14ac:dyDescent="0.25">
      <c r="A8" s="35" t="s">
        <v>92</v>
      </c>
      <c r="B8" s="36"/>
      <c r="C8" s="37"/>
      <c r="D8" s="67">
        <f>COUNTIF(I13:I22, "No")</f>
        <v>3</v>
      </c>
      <c r="E8" s="68"/>
      <c r="F8" s="61" t="s">
        <v>135</v>
      </c>
      <c r="G8" s="62"/>
      <c r="H8" s="62"/>
      <c r="I8" s="62"/>
      <c r="J8" s="55" t="s">
        <v>147</v>
      </c>
      <c r="K8" s="129" t="s">
        <v>146</v>
      </c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75"/>
    </row>
    <row r="9" spans="1:69" x14ac:dyDescent="0.25">
      <c r="A9" s="35" t="s">
        <v>93</v>
      </c>
      <c r="B9" s="36"/>
      <c r="C9" s="37"/>
      <c r="D9" s="69">
        <f>COUNTIF(I13:I22, "Yes")</f>
        <v>2</v>
      </c>
      <c r="E9" s="70"/>
      <c r="F9" s="61" t="s">
        <v>136</v>
      </c>
      <c r="G9" s="62"/>
      <c r="H9" s="62"/>
      <c r="I9" s="62"/>
      <c r="K9" s="83"/>
      <c r="L9" s="83"/>
      <c r="M9" s="83"/>
      <c r="N9" s="83"/>
    </row>
    <row r="10" spans="1:69" x14ac:dyDescent="0.25">
      <c r="K10" s="3"/>
    </row>
    <row r="11" spans="1:69" x14ac:dyDescent="0.25">
      <c r="F11" s="1"/>
      <c r="G11" s="1"/>
      <c r="H11" s="41" t="s">
        <v>115</v>
      </c>
      <c r="I11" s="41" t="s">
        <v>116</v>
      </c>
    </row>
    <row r="12" spans="1:69" ht="42" thickBot="1" x14ac:dyDescent="0.3">
      <c r="A12" s="8" t="s">
        <v>94</v>
      </c>
      <c r="B12" s="8" t="s">
        <v>95</v>
      </c>
      <c r="C12" s="8" t="s">
        <v>96</v>
      </c>
      <c r="D12" s="8" t="s">
        <v>97</v>
      </c>
      <c r="E12" s="8" t="s">
        <v>98</v>
      </c>
      <c r="F12" s="8" t="s">
        <v>99</v>
      </c>
      <c r="G12" s="8" t="s">
        <v>100</v>
      </c>
      <c r="H12" s="8" t="s">
        <v>101</v>
      </c>
      <c r="I12" s="8" t="s">
        <v>102</v>
      </c>
      <c r="J12" s="9"/>
      <c r="K12" s="10">
        <v>44562</v>
      </c>
      <c r="L12" s="10">
        <f>K12+1</f>
        <v>44563</v>
      </c>
      <c r="M12" s="10">
        <f t="shared" ref="M12:BQ12" si="0">L12+1</f>
        <v>44564</v>
      </c>
      <c r="N12" s="10">
        <f t="shared" si="0"/>
        <v>44565</v>
      </c>
      <c r="O12" s="10">
        <f t="shared" si="0"/>
        <v>44566</v>
      </c>
      <c r="P12" s="10">
        <f t="shared" si="0"/>
        <v>44567</v>
      </c>
      <c r="Q12" s="10">
        <f t="shared" si="0"/>
        <v>44568</v>
      </c>
      <c r="R12" s="10">
        <f t="shared" si="0"/>
        <v>44569</v>
      </c>
      <c r="S12" s="10">
        <f t="shared" si="0"/>
        <v>44570</v>
      </c>
      <c r="T12" s="10">
        <f t="shared" si="0"/>
        <v>44571</v>
      </c>
      <c r="U12" s="10">
        <f t="shared" si="0"/>
        <v>44572</v>
      </c>
      <c r="V12" s="10">
        <f t="shared" si="0"/>
        <v>44573</v>
      </c>
      <c r="W12" s="10">
        <f t="shared" si="0"/>
        <v>44574</v>
      </c>
      <c r="X12" s="10">
        <f t="shared" si="0"/>
        <v>44575</v>
      </c>
      <c r="Y12" s="10">
        <f t="shared" si="0"/>
        <v>44576</v>
      </c>
      <c r="Z12" s="10">
        <f t="shared" si="0"/>
        <v>44577</v>
      </c>
      <c r="AA12" s="10">
        <f t="shared" si="0"/>
        <v>44578</v>
      </c>
      <c r="AB12" s="10">
        <f t="shared" si="0"/>
        <v>44579</v>
      </c>
      <c r="AC12" s="10">
        <f t="shared" si="0"/>
        <v>44580</v>
      </c>
      <c r="AD12" s="10">
        <f t="shared" si="0"/>
        <v>44581</v>
      </c>
      <c r="AE12" s="10">
        <f t="shared" si="0"/>
        <v>44582</v>
      </c>
      <c r="AF12" s="10">
        <f t="shared" si="0"/>
        <v>44583</v>
      </c>
      <c r="AG12" s="10">
        <f t="shared" si="0"/>
        <v>44584</v>
      </c>
      <c r="AH12" s="10">
        <f t="shared" si="0"/>
        <v>44585</v>
      </c>
      <c r="AI12" s="10">
        <f t="shared" si="0"/>
        <v>44586</v>
      </c>
      <c r="AJ12" s="10">
        <f t="shared" si="0"/>
        <v>44587</v>
      </c>
      <c r="AK12" s="10">
        <f t="shared" si="0"/>
        <v>44588</v>
      </c>
      <c r="AL12" s="10">
        <f t="shared" si="0"/>
        <v>44589</v>
      </c>
      <c r="AM12" s="10">
        <f t="shared" si="0"/>
        <v>44590</v>
      </c>
      <c r="AN12" s="10">
        <f t="shared" si="0"/>
        <v>44591</v>
      </c>
      <c r="AO12" s="10">
        <f t="shared" si="0"/>
        <v>44592</v>
      </c>
      <c r="AP12" s="10">
        <f t="shared" si="0"/>
        <v>44593</v>
      </c>
      <c r="AQ12" s="10">
        <f t="shared" si="0"/>
        <v>44594</v>
      </c>
      <c r="AR12" s="10">
        <f t="shared" si="0"/>
        <v>44595</v>
      </c>
      <c r="AS12" s="10">
        <f t="shared" si="0"/>
        <v>44596</v>
      </c>
      <c r="AT12" s="10">
        <f t="shared" si="0"/>
        <v>44597</v>
      </c>
      <c r="AU12" s="10">
        <f t="shared" si="0"/>
        <v>44598</v>
      </c>
      <c r="AV12" s="10">
        <f t="shared" si="0"/>
        <v>44599</v>
      </c>
      <c r="AW12" s="10">
        <f t="shared" si="0"/>
        <v>44600</v>
      </c>
      <c r="AX12" s="10">
        <f t="shared" si="0"/>
        <v>44601</v>
      </c>
      <c r="AY12" s="10">
        <f t="shared" si="0"/>
        <v>44602</v>
      </c>
      <c r="AZ12" s="10">
        <f t="shared" si="0"/>
        <v>44603</v>
      </c>
      <c r="BA12" s="10">
        <f t="shared" si="0"/>
        <v>44604</v>
      </c>
      <c r="BB12" s="10">
        <f t="shared" si="0"/>
        <v>44605</v>
      </c>
      <c r="BC12" s="10">
        <f t="shared" si="0"/>
        <v>44606</v>
      </c>
      <c r="BD12" s="10">
        <f t="shared" si="0"/>
        <v>44607</v>
      </c>
      <c r="BE12" s="10">
        <f t="shared" si="0"/>
        <v>44608</v>
      </c>
      <c r="BF12" s="10">
        <f t="shared" si="0"/>
        <v>44609</v>
      </c>
      <c r="BG12" s="10">
        <f t="shared" si="0"/>
        <v>44610</v>
      </c>
      <c r="BH12" s="10">
        <f t="shared" si="0"/>
        <v>44611</v>
      </c>
      <c r="BI12" s="10">
        <f t="shared" si="0"/>
        <v>44612</v>
      </c>
      <c r="BJ12" s="10">
        <f t="shared" si="0"/>
        <v>44613</v>
      </c>
      <c r="BK12" s="10">
        <f t="shared" si="0"/>
        <v>44614</v>
      </c>
      <c r="BL12" s="10">
        <f t="shared" si="0"/>
        <v>44615</v>
      </c>
      <c r="BM12" s="10">
        <f t="shared" si="0"/>
        <v>44616</v>
      </c>
      <c r="BN12" s="10">
        <f t="shared" si="0"/>
        <v>44617</v>
      </c>
      <c r="BO12" s="10">
        <f t="shared" si="0"/>
        <v>44618</v>
      </c>
      <c r="BP12" s="10">
        <f t="shared" si="0"/>
        <v>44619</v>
      </c>
      <c r="BQ12" s="10">
        <f t="shared" si="0"/>
        <v>44620</v>
      </c>
    </row>
    <row r="13" spans="1:69" x14ac:dyDescent="0.25">
      <c r="A13" s="4" t="s">
        <v>103</v>
      </c>
      <c r="B13" s="5">
        <v>44562</v>
      </c>
      <c r="C13" s="5">
        <v>44571</v>
      </c>
      <c r="D13" s="5">
        <v>44564</v>
      </c>
      <c r="E13" s="5">
        <v>44569</v>
      </c>
      <c r="F13" s="56">
        <f>C13-B13</f>
        <v>9</v>
      </c>
      <c r="G13" s="56">
        <f>E13-D13</f>
        <v>5</v>
      </c>
      <c r="H13" s="80" t="str">
        <f>IF(D13&gt;B13, "Yes", "No")</f>
        <v>Yes</v>
      </c>
      <c r="I13" s="86" t="str">
        <f>IF(E13&gt;C13, "Yes", "No")</f>
        <v>No</v>
      </c>
      <c r="J13" s="88" t="s">
        <v>113</v>
      </c>
      <c r="K13" s="94" t="str">
        <f>IF(AND(K12&gt;=$B$13, K12&lt;=$C$13), "Y", "")</f>
        <v>Y</v>
      </c>
      <c r="L13" s="95" t="str">
        <f t="shared" ref="L13:BQ13" si="1">IF(AND(L12&gt;=$B$13, L12&lt;=$C$13), "Y", "")</f>
        <v>Y</v>
      </c>
      <c r="M13" s="95" t="str">
        <f t="shared" si="1"/>
        <v>Y</v>
      </c>
      <c r="N13" s="95" t="str">
        <f t="shared" si="1"/>
        <v>Y</v>
      </c>
      <c r="O13" s="95" t="str">
        <f t="shared" si="1"/>
        <v>Y</v>
      </c>
      <c r="P13" s="95" t="str">
        <f t="shared" si="1"/>
        <v>Y</v>
      </c>
      <c r="Q13" s="95" t="str">
        <f t="shared" si="1"/>
        <v>Y</v>
      </c>
      <c r="R13" s="95" t="str">
        <f t="shared" si="1"/>
        <v>Y</v>
      </c>
      <c r="S13" s="95" t="str">
        <f t="shared" si="1"/>
        <v>Y</v>
      </c>
      <c r="T13" s="95" t="str">
        <f t="shared" si="1"/>
        <v>Y</v>
      </c>
      <c r="U13" s="95" t="str">
        <f t="shared" si="1"/>
        <v/>
      </c>
      <c r="V13" s="95" t="str">
        <f t="shared" si="1"/>
        <v/>
      </c>
      <c r="W13" s="95" t="str">
        <f t="shared" si="1"/>
        <v/>
      </c>
      <c r="X13" s="95" t="str">
        <f t="shared" si="1"/>
        <v/>
      </c>
      <c r="Y13" s="95" t="str">
        <f t="shared" si="1"/>
        <v/>
      </c>
      <c r="Z13" s="95" t="str">
        <f t="shared" si="1"/>
        <v/>
      </c>
      <c r="AA13" s="95" t="str">
        <f t="shared" si="1"/>
        <v/>
      </c>
      <c r="AB13" s="95" t="str">
        <f t="shared" si="1"/>
        <v/>
      </c>
      <c r="AC13" s="95" t="str">
        <f t="shared" si="1"/>
        <v/>
      </c>
      <c r="AD13" s="95" t="str">
        <f t="shared" si="1"/>
        <v/>
      </c>
      <c r="AE13" s="95" t="str">
        <f t="shared" si="1"/>
        <v/>
      </c>
      <c r="AF13" s="95" t="str">
        <f t="shared" si="1"/>
        <v/>
      </c>
      <c r="AG13" s="95" t="str">
        <f t="shared" si="1"/>
        <v/>
      </c>
      <c r="AH13" s="95" t="str">
        <f t="shared" si="1"/>
        <v/>
      </c>
      <c r="AI13" s="95" t="str">
        <f t="shared" si="1"/>
        <v/>
      </c>
      <c r="AJ13" s="95" t="str">
        <f t="shared" si="1"/>
        <v/>
      </c>
      <c r="AK13" s="95" t="str">
        <f t="shared" si="1"/>
        <v/>
      </c>
      <c r="AL13" s="95" t="str">
        <f t="shared" si="1"/>
        <v/>
      </c>
      <c r="AM13" s="95" t="str">
        <f t="shared" si="1"/>
        <v/>
      </c>
      <c r="AN13" s="95" t="str">
        <f t="shared" si="1"/>
        <v/>
      </c>
      <c r="AO13" s="95" t="str">
        <f t="shared" si="1"/>
        <v/>
      </c>
      <c r="AP13" s="95" t="str">
        <f t="shared" si="1"/>
        <v/>
      </c>
      <c r="AQ13" s="95" t="str">
        <f t="shared" si="1"/>
        <v/>
      </c>
      <c r="AR13" s="95" t="str">
        <f t="shared" si="1"/>
        <v/>
      </c>
      <c r="AS13" s="95" t="str">
        <f t="shared" si="1"/>
        <v/>
      </c>
      <c r="AT13" s="95" t="str">
        <f t="shared" si="1"/>
        <v/>
      </c>
      <c r="AU13" s="95" t="str">
        <f t="shared" si="1"/>
        <v/>
      </c>
      <c r="AV13" s="95" t="str">
        <f t="shared" si="1"/>
        <v/>
      </c>
      <c r="AW13" s="95" t="str">
        <f t="shared" si="1"/>
        <v/>
      </c>
      <c r="AX13" s="95" t="str">
        <f t="shared" si="1"/>
        <v/>
      </c>
      <c r="AY13" s="95" t="str">
        <f t="shared" si="1"/>
        <v/>
      </c>
      <c r="AZ13" s="95" t="str">
        <f t="shared" si="1"/>
        <v/>
      </c>
      <c r="BA13" s="95" t="str">
        <f t="shared" si="1"/>
        <v/>
      </c>
      <c r="BB13" s="95" t="str">
        <f t="shared" si="1"/>
        <v/>
      </c>
      <c r="BC13" s="95" t="str">
        <f t="shared" si="1"/>
        <v/>
      </c>
      <c r="BD13" s="95" t="str">
        <f t="shared" si="1"/>
        <v/>
      </c>
      <c r="BE13" s="95" t="str">
        <f t="shared" si="1"/>
        <v/>
      </c>
      <c r="BF13" s="95" t="str">
        <f t="shared" si="1"/>
        <v/>
      </c>
      <c r="BG13" s="95" t="str">
        <f t="shared" si="1"/>
        <v/>
      </c>
      <c r="BH13" s="95" t="str">
        <f t="shared" si="1"/>
        <v/>
      </c>
      <c r="BI13" s="95" t="str">
        <f t="shared" si="1"/>
        <v/>
      </c>
      <c r="BJ13" s="95" t="str">
        <f t="shared" si="1"/>
        <v/>
      </c>
      <c r="BK13" s="95" t="str">
        <f t="shared" si="1"/>
        <v/>
      </c>
      <c r="BL13" s="95" t="str">
        <f t="shared" si="1"/>
        <v/>
      </c>
      <c r="BM13" s="95" t="str">
        <f t="shared" si="1"/>
        <v/>
      </c>
      <c r="BN13" s="95" t="str">
        <f t="shared" si="1"/>
        <v/>
      </c>
      <c r="BO13" s="95" t="str">
        <f t="shared" si="1"/>
        <v/>
      </c>
      <c r="BP13" s="95" t="str">
        <f t="shared" si="1"/>
        <v/>
      </c>
      <c r="BQ13" s="96" t="str">
        <f t="shared" si="1"/>
        <v/>
      </c>
    </row>
    <row r="14" spans="1:69" ht="14.4" thickBot="1" x14ac:dyDescent="0.3">
      <c r="A14" s="6"/>
      <c r="B14" s="7"/>
      <c r="C14" s="7"/>
      <c r="D14" s="7"/>
      <c r="E14" s="7"/>
      <c r="F14" s="57"/>
      <c r="G14" s="57"/>
      <c r="H14" s="81"/>
      <c r="I14" s="87"/>
      <c r="J14" s="89" t="s">
        <v>114</v>
      </c>
      <c r="K14" s="97" t="str">
        <f>IF(AND(K12&gt;=$D$13, K12&lt;=$E$13), "N", "")</f>
        <v/>
      </c>
      <c r="L14" s="98" t="str">
        <f t="shared" ref="L14:BQ14" si="2">IF(AND(L12&gt;=$D$13, L12&lt;=$E$13), "N", "")</f>
        <v/>
      </c>
      <c r="M14" s="98" t="str">
        <f t="shared" si="2"/>
        <v>N</v>
      </c>
      <c r="N14" s="98" t="str">
        <f t="shared" si="2"/>
        <v>N</v>
      </c>
      <c r="O14" s="98" t="str">
        <f t="shared" si="2"/>
        <v>N</v>
      </c>
      <c r="P14" s="98" t="str">
        <f t="shared" si="2"/>
        <v>N</v>
      </c>
      <c r="Q14" s="98" t="str">
        <f t="shared" si="2"/>
        <v>N</v>
      </c>
      <c r="R14" s="98" t="str">
        <f t="shared" si="2"/>
        <v>N</v>
      </c>
      <c r="S14" s="98" t="str">
        <f t="shared" si="2"/>
        <v/>
      </c>
      <c r="T14" s="98" t="str">
        <f t="shared" si="2"/>
        <v/>
      </c>
      <c r="U14" s="98" t="str">
        <f t="shared" si="2"/>
        <v/>
      </c>
      <c r="V14" s="98" t="str">
        <f t="shared" si="2"/>
        <v/>
      </c>
      <c r="W14" s="98" t="str">
        <f t="shared" si="2"/>
        <v/>
      </c>
      <c r="X14" s="98" t="str">
        <f t="shared" si="2"/>
        <v/>
      </c>
      <c r="Y14" s="98" t="str">
        <f t="shared" si="2"/>
        <v/>
      </c>
      <c r="Z14" s="98" t="str">
        <f t="shared" si="2"/>
        <v/>
      </c>
      <c r="AA14" s="98" t="str">
        <f t="shared" si="2"/>
        <v/>
      </c>
      <c r="AB14" s="98" t="str">
        <f t="shared" si="2"/>
        <v/>
      </c>
      <c r="AC14" s="98" t="str">
        <f t="shared" si="2"/>
        <v/>
      </c>
      <c r="AD14" s="98" t="str">
        <f t="shared" si="2"/>
        <v/>
      </c>
      <c r="AE14" s="98" t="str">
        <f t="shared" si="2"/>
        <v/>
      </c>
      <c r="AF14" s="98" t="str">
        <f t="shared" si="2"/>
        <v/>
      </c>
      <c r="AG14" s="98" t="str">
        <f t="shared" si="2"/>
        <v/>
      </c>
      <c r="AH14" s="98" t="str">
        <f t="shared" si="2"/>
        <v/>
      </c>
      <c r="AI14" s="98" t="str">
        <f t="shared" si="2"/>
        <v/>
      </c>
      <c r="AJ14" s="98" t="str">
        <f t="shared" si="2"/>
        <v/>
      </c>
      <c r="AK14" s="98" t="str">
        <f t="shared" si="2"/>
        <v/>
      </c>
      <c r="AL14" s="98" t="str">
        <f t="shared" si="2"/>
        <v/>
      </c>
      <c r="AM14" s="98" t="str">
        <f t="shared" si="2"/>
        <v/>
      </c>
      <c r="AN14" s="98" t="str">
        <f t="shared" si="2"/>
        <v/>
      </c>
      <c r="AO14" s="98" t="str">
        <f t="shared" si="2"/>
        <v/>
      </c>
      <c r="AP14" s="98" t="str">
        <f t="shared" si="2"/>
        <v/>
      </c>
      <c r="AQ14" s="98" t="str">
        <f t="shared" si="2"/>
        <v/>
      </c>
      <c r="AR14" s="98" t="str">
        <f t="shared" si="2"/>
        <v/>
      </c>
      <c r="AS14" s="98" t="str">
        <f t="shared" si="2"/>
        <v/>
      </c>
      <c r="AT14" s="98" t="str">
        <f t="shared" si="2"/>
        <v/>
      </c>
      <c r="AU14" s="98" t="str">
        <f t="shared" si="2"/>
        <v/>
      </c>
      <c r="AV14" s="98" t="str">
        <f t="shared" si="2"/>
        <v/>
      </c>
      <c r="AW14" s="98" t="str">
        <f t="shared" si="2"/>
        <v/>
      </c>
      <c r="AX14" s="98" t="str">
        <f t="shared" si="2"/>
        <v/>
      </c>
      <c r="AY14" s="98" t="str">
        <f t="shared" si="2"/>
        <v/>
      </c>
      <c r="AZ14" s="98" t="str">
        <f t="shared" si="2"/>
        <v/>
      </c>
      <c r="BA14" s="98" t="str">
        <f t="shared" si="2"/>
        <v/>
      </c>
      <c r="BB14" s="98" t="str">
        <f t="shared" si="2"/>
        <v/>
      </c>
      <c r="BC14" s="98" t="str">
        <f t="shared" si="2"/>
        <v/>
      </c>
      <c r="BD14" s="98" t="str">
        <f t="shared" si="2"/>
        <v/>
      </c>
      <c r="BE14" s="98" t="str">
        <f t="shared" si="2"/>
        <v/>
      </c>
      <c r="BF14" s="98" t="str">
        <f t="shared" si="2"/>
        <v/>
      </c>
      <c r="BG14" s="98" t="str">
        <f t="shared" si="2"/>
        <v/>
      </c>
      <c r="BH14" s="98" t="str">
        <f t="shared" si="2"/>
        <v/>
      </c>
      <c r="BI14" s="98" t="str">
        <f t="shared" si="2"/>
        <v/>
      </c>
      <c r="BJ14" s="98" t="str">
        <f t="shared" si="2"/>
        <v/>
      </c>
      <c r="BK14" s="98" t="str">
        <f t="shared" si="2"/>
        <v/>
      </c>
      <c r="BL14" s="98" t="str">
        <f t="shared" si="2"/>
        <v/>
      </c>
      <c r="BM14" s="98" t="str">
        <f t="shared" si="2"/>
        <v/>
      </c>
      <c r="BN14" s="98" t="str">
        <f t="shared" si="2"/>
        <v/>
      </c>
      <c r="BO14" s="98" t="str">
        <f t="shared" si="2"/>
        <v/>
      </c>
      <c r="BP14" s="98" t="str">
        <f t="shared" si="2"/>
        <v/>
      </c>
      <c r="BQ14" s="99" t="str">
        <f t="shared" si="2"/>
        <v/>
      </c>
    </row>
    <row r="15" spans="1:69" x14ac:dyDescent="0.25">
      <c r="A15" s="4" t="s">
        <v>104</v>
      </c>
      <c r="B15" s="5">
        <v>44566</v>
      </c>
      <c r="C15" s="5">
        <v>44569</v>
      </c>
      <c r="D15" s="5">
        <v>44566</v>
      </c>
      <c r="E15" s="5">
        <v>44571</v>
      </c>
      <c r="F15" s="56">
        <f t="shared" ref="F15" si="3">C15-B15</f>
        <v>3</v>
      </c>
      <c r="G15" s="56">
        <f t="shared" ref="G15" si="4">E15-D15</f>
        <v>5</v>
      </c>
      <c r="H15" s="80" t="str">
        <f t="shared" ref="H15" si="5">IF(D15&gt;B15, "Yes", "No")</f>
        <v>No</v>
      </c>
      <c r="I15" s="86" t="str">
        <f t="shared" ref="I15" si="6">IF(E15&gt;C15, "Yes", "No")</f>
        <v>Yes</v>
      </c>
      <c r="J15" s="90" t="s">
        <v>113</v>
      </c>
      <c r="K15" s="100" t="str">
        <f>IF(AND(K12&gt;=$B$15, K12&lt;=$C$15), "Y", "")</f>
        <v/>
      </c>
      <c r="L15" s="101" t="str">
        <f t="shared" ref="L15:BQ15" si="7">IF(AND(L12&gt;=$B$15, L12&lt;=$C$15), "Y", "")</f>
        <v/>
      </c>
      <c r="M15" s="101" t="str">
        <f t="shared" si="7"/>
        <v/>
      </c>
      <c r="N15" s="101" t="str">
        <f t="shared" si="7"/>
        <v/>
      </c>
      <c r="O15" s="101" t="str">
        <f t="shared" si="7"/>
        <v>Y</v>
      </c>
      <c r="P15" s="101" t="str">
        <f t="shared" si="7"/>
        <v>Y</v>
      </c>
      <c r="Q15" s="101" t="str">
        <f t="shared" si="7"/>
        <v>Y</v>
      </c>
      <c r="R15" s="101" t="str">
        <f t="shared" si="7"/>
        <v>Y</v>
      </c>
      <c r="S15" s="101" t="str">
        <f t="shared" si="7"/>
        <v/>
      </c>
      <c r="T15" s="101" t="str">
        <f t="shared" si="7"/>
        <v/>
      </c>
      <c r="U15" s="101" t="str">
        <f t="shared" si="7"/>
        <v/>
      </c>
      <c r="V15" s="101" t="str">
        <f t="shared" si="7"/>
        <v/>
      </c>
      <c r="W15" s="101" t="str">
        <f t="shared" si="7"/>
        <v/>
      </c>
      <c r="X15" s="101" t="str">
        <f t="shared" si="7"/>
        <v/>
      </c>
      <c r="Y15" s="101" t="str">
        <f t="shared" si="7"/>
        <v/>
      </c>
      <c r="Z15" s="101" t="str">
        <f t="shared" si="7"/>
        <v/>
      </c>
      <c r="AA15" s="101" t="str">
        <f t="shared" si="7"/>
        <v/>
      </c>
      <c r="AB15" s="101" t="str">
        <f t="shared" si="7"/>
        <v/>
      </c>
      <c r="AC15" s="101" t="str">
        <f t="shared" si="7"/>
        <v/>
      </c>
      <c r="AD15" s="101" t="str">
        <f t="shared" si="7"/>
        <v/>
      </c>
      <c r="AE15" s="101" t="str">
        <f t="shared" si="7"/>
        <v/>
      </c>
      <c r="AF15" s="101" t="str">
        <f t="shared" si="7"/>
        <v/>
      </c>
      <c r="AG15" s="101" t="str">
        <f t="shared" si="7"/>
        <v/>
      </c>
      <c r="AH15" s="101" t="str">
        <f t="shared" si="7"/>
        <v/>
      </c>
      <c r="AI15" s="101" t="str">
        <f t="shared" si="7"/>
        <v/>
      </c>
      <c r="AJ15" s="101" t="str">
        <f t="shared" si="7"/>
        <v/>
      </c>
      <c r="AK15" s="101" t="str">
        <f t="shared" si="7"/>
        <v/>
      </c>
      <c r="AL15" s="101" t="str">
        <f t="shared" si="7"/>
        <v/>
      </c>
      <c r="AM15" s="101" t="str">
        <f t="shared" si="7"/>
        <v/>
      </c>
      <c r="AN15" s="101" t="str">
        <f t="shared" si="7"/>
        <v/>
      </c>
      <c r="AO15" s="101" t="str">
        <f t="shared" si="7"/>
        <v/>
      </c>
      <c r="AP15" s="101" t="str">
        <f t="shared" si="7"/>
        <v/>
      </c>
      <c r="AQ15" s="101" t="str">
        <f t="shared" si="7"/>
        <v/>
      </c>
      <c r="AR15" s="101" t="str">
        <f t="shared" si="7"/>
        <v/>
      </c>
      <c r="AS15" s="101" t="str">
        <f t="shared" si="7"/>
        <v/>
      </c>
      <c r="AT15" s="101" t="str">
        <f t="shared" si="7"/>
        <v/>
      </c>
      <c r="AU15" s="101" t="str">
        <f t="shared" si="7"/>
        <v/>
      </c>
      <c r="AV15" s="101" t="str">
        <f t="shared" si="7"/>
        <v/>
      </c>
      <c r="AW15" s="101" t="str">
        <f t="shared" si="7"/>
        <v/>
      </c>
      <c r="AX15" s="101" t="str">
        <f t="shared" si="7"/>
        <v/>
      </c>
      <c r="AY15" s="101" t="str">
        <f t="shared" si="7"/>
        <v/>
      </c>
      <c r="AZ15" s="101" t="str">
        <f t="shared" si="7"/>
        <v/>
      </c>
      <c r="BA15" s="101" t="str">
        <f t="shared" si="7"/>
        <v/>
      </c>
      <c r="BB15" s="101" t="str">
        <f t="shared" si="7"/>
        <v/>
      </c>
      <c r="BC15" s="101" t="str">
        <f t="shared" si="7"/>
        <v/>
      </c>
      <c r="BD15" s="101" t="str">
        <f t="shared" si="7"/>
        <v/>
      </c>
      <c r="BE15" s="101" t="str">
        <f t="shared" si="7"/>
        <v/>
      </c>
      <c r="BF15" s="101" t="str">
        <f t="shared" si="7"/>
        <v/>
      </c>
      <c r="BG15" s="101" t="str">
        <f t="shared" si="7"/>
        <v/>
      </c>
      <c r="BH15" s="101" t="str">
        <f t="shared" si="7"/>
        <v/>
      </c>
      <c r="BI15" s="101" t="str">
        <f t="shared" si="7"/>
        <v/>
      </c>
      <c r="BJ15" s="101" t="str">
        <f t="shared" si="7"/>
        <v/>
      </c>
      <c r="BK15" s="101" t="str">
        <f t="shared" si="7"/>
        <v/>
      </c>
      <c r="BL15" s="101" t="str">
        <f t="shared" si="7"/>
        <v/>
      </c>
      <c r="BM15" s="101" t="str">
        <f t="shared" si="7"/>
        <v/>
      </c>
      <c r="BN15" s="101" t="str">
        <f t="shared" si="7"/>
        <v/>
      </c>
      <c r="BO15" s="101" t="str">
        <f t="shared" si="7"/>
        <v/>
      </c>
      <c r="BP15" s="101" t="str">
        <f t="shared" si="7"/>
        <v/>
      </c>
      <c r="BQ15" s="102" t="str">
        <f t="shared" si="7"/>
        <v/>
      </c>
    </row>
    <row r="16" spans="1:69" ht="14.4" thickBot="1" x14ac:dyDescent="0.3">
      <c r="A16" s="6"/>
      <c r="B16" s="7"/>
      <c r="C16" s="7"/>
      <c r="D16" s="7"/>
      <c r="E16" s="7"/>
      <c r="F16" s="57"/>
      <c r="G16" s="57"/>
      <c r="H16" s="81"/>
      <c r="I16" s="87"/>
      <c r="J16" s="91" t="s">
        <v>114</v>
      </c>
      <c r="K16" s="103" t="str">
        <f>IF(AND(K12&gt;=$D$15, K12&lt;=$E$15), "N", "")</f>
        <v/>
      </c>
      <c r="L16" s="104" t="str">
        <f t="shared" ref="L16:BQ16" si="8">IF(AND(L12&gt;=$D$15, L12&lt;=$E$15), "N", "")</f>
        <v/>
      </c>
      <c r="M16" s="104" t="str">
        <f t="shared" si="8"/>
        <v/>
      </c>
      <c r="N16" s="104" t="str">
        <f t="shared" si="8"/>
        <v/>
      </c>
      <c r="O16" s="104" t="str">
        <f t="shared" si="8"/>
        <v>N</v>
      </c>
      <c r="P16" s="104" t="str">
        <f t="shared" si="8"/>
        <v>N</v>
      </c>
      <c r="Q16" s="104" t="str">
        <f t="shared" si="8"/>
        <v>N</v>
      </c>
      <c r="R16" s="104" t="str">
        <f t="shared" si="8"/>
        <v>N</v>
      </c>
      <c r="S16" s="104" t="str">
        <f t="shared" si="8"/>
        <v>N</v>
      </c>
      <c r="T16" s="104" t="str">
        <f t="shared" si="8"/>
        <v>N</v>
      </c>
      <c r="U16" s="104" t="str">
        <f t="shared" si="8"/>
        <v/>
      </c>
      <c r="V16" s="104" t="str">
        <f t="shared" si="8"/>
        <v/>
      </c>
      <c r="W16" s="104" t="str">
        <f t="shared" si="8"/>
        <v/>
      </c>
      <c r="X16" s="104" t="str">
        <f t="shared" si="8"/>
        <v/>
      </c>
      <c r="Y16" s="104" t="str">
        <f t="shared" si="8"/>
        <v/>
      </c>
      <c r="Z16" s="104" t="str">
        <f t="shared" si="8"/>
        <v/>
      </c>
      <c r="AA16" s="104" t="str">
        <f t="shared" si="8"/>
        <v/>
      </c>
      <c r="AB16" s="104" t="str">
        <f t="shared" si="8"/>
        <v/>
      </c>
      <c r="AC16" s="104" t="str">
        <f t="shared" si="8"/>
        <v/>
      </c>
      <c r="AD16" s="104" t="str">
        <f t="shared" si="8"/>
        <v/>
      </c>
      <c r="AE16" s="104" t="str">
        <f t="shared" si="8"/>
        <v/>
      </c>
      <c r="AF16" s="104" t="str">
        <f t="shared" si="8"/>
        <v/>
      </c>
      <c r="AG16" s="104" t="str">
        <f t="shared" si="8"/>
        <v/>
      </c>
      <c r="AH16" s="104" t="str">
        <f t="shared" si="8"/>
        <v/>
      </c>
      <c r="AI16" s="104" t="str">
        <f t="shared" si="8"/>
        <v/>
      </c>
      <c r="AJ16" s="104" t="str">
        <f t="shared" si="8"/>
        <v/>
      </c>
      <c r="AK16" s="104" t="str">
        <f t="shared" si="8"/>
        <v/>
      </c>
      <c r="AL16" s="104" t="str">
        <f t="shared" si="8"/>
        <v/>
      </c>
      <c r="AM16" s="104" t="str">
        <f t="shared" si="8"/>
        <v/>
      </c>
      <c r="AN16" s="104" t="str">
        <f t="shared" si="8"/>
        <v/>
      </c>
      <c r="AO16" s="104" t="str">
        <f t="shared" si="8"/>
        <v/>
      </c>
      <c r="AP16" s="104" t="str">
        <f t="shared" si="8"/>
        <v/>
      </c>
      <c r="AQ16" s="104" t="str">
        <f t="shared" si="8"/>
        <v/>
      </c>
      <c r="AR16" s="104" t="str">
        <f t="shared" si="8"/>
        <v/>
      </c>
      <c r="AS16" s="104" t="str">
        <f t="shared" si="8"/>
        <v/>
      </c>
      <c r="AT16" s="104" t="str">
        <f t="shared" si="8"/>
        <v/>
      </c>
      <c r="AU16" s="104" t="str">
        <f t="shared" si="8"/>
        <v/>
      </c>
      <c r="AV16" s="104" t="str">
        <f t="shared" si="8"/>
        <v/>
      </c>
      <c r="AW16" s="104" t="str">
        <f t="shared" si="8"/>
        <v/>
      </c>
      <c r="AX16" s="104" t="str">
        <f t="shared" si="8"/>
        <v/>
      </c>
      <c r="AY16" s="104" t="str">
        <f t="shared" si="8"/>
        <v/>
      </c>
      <c r="AZ16" s="104" t="str">
        <f t="shared" si="8"/>
        <v/>
      </c>
      <c r="BA16" s="104" t="str">
        <f t="shared" si="8"/>
        <v/>
      </c>
      <c r="BB16" s="104" t="str">
        <f t="shared" si="8"/>
        <v/>
      </c>
      <c r="BC16" s="104" t="str">
        <f t="shared" si="8"/>
        <v/>
      </c>
      <c r="BD16" s="104" t="str">
        <f t="shared" si="8"/>
        <v/>
      </c>
      <c r="BE16" s="104" t="str">
        <f t="shared" si="8"/>
        <v/>
      </c>
      <c r="BF16" s="104" t="str">
        <f t="shared" si="8"/>
        <v/>
      </c>
      <c r="BG16" s="104" t="str">
        <f t="shared" si="8"/>
        <v/>
      </c>
      <c r="BH16" s="104" t="str">
        <f t="shared" si="8"/>
        <v/>
      </c>
      <c r="BI16" s="104" t="str">
        <f t="shared" si="8"/>
        <v/>
      </c>
      <c r="BJ16" s="104" t="str">
        <f t="shared" si="8"/>
        <v/>
      </c>
      <c r="BK16" s="104" t="str">
        <f t="shared" si="8"/>
        <v/>
      </c>
      <c r="BL16" s="104" t="str">
        <f t="shared" si="8"/>
        <v/>
      </c>
      <c r="BM16" s="104" t="str">
        <f t="shared" si="8"/>
        <v/>
      </c>
      <c r="BN16" s="104" t="str">
        <f t="shared" si="8"/>
        <v/>
      </c>
      <c r="BO16" s="104" t="str">
        <f t="shared" si="8"/>
        <v/>
      </c>
      <c r="BP16" s="104" t="str">
        <f t="shared" si="8"/>
        <v/>
      </c>
      <c r="BQ16" s="105" t="str">
        <f t="shared" si="8"/>
        <v/>
      </c>
    </row>
    <row r="17" spans="1:69" x14ac:dyDescent="0.25">
      <c r="A17" s="4" t="s">
        <v>105</v>
      </c>
      <c r="B17" s="5">
        <v>44567</v>
      </c>
      <c r="C17" s="5">
        <v>44607</v>
      </c>
      <c r="D17" s="5">
        <v>44568</v>
      </c>
      <c r="E17" s="5">
        <v>44598</v>
      </c>
      <c r="F17" s="56">
        <f t="shared" ref="F17" si="9">C17-B17</f>
        <v>40</v>
      </c>
      <c r="G17" s="56">
        <f t="shared" ref="G17" si="10">E17-D17</f>
        <v>30</v>
      </c>
      <c r="H17" s="80" t="str">
        <f t="shared" ref="H17" si="11">IF(D17&gt;B17, "Yes", "No")</f>
        <v>Yes</v>
      </c>
      <c r="I17" s="86" t="str">
        <f t="shared" ref="I17" si="12">IF(E17&gt;C17, "Yes", "No")</f>
        <v>No</v>
      </c>
      <c r="J17" s="92" t="s">
        <v>113</v>
      </c>
      <c r="K17" s="106" t="str">
        <f>IF(AND(K12&gt;=$B$17, K12&lt;=$C$17), "Y", "")</f>
        <v/>
      </c>
      <c r="L17" s="107" t="str">
        <f t="shared" ref="L17:BQ17" si="13">IF(AND(L12&gt;=$B$17, L12&lt;=$C$17), "Y", "")</f>
        <v/>
      </c>
      <c r="M17" s="107" t="str">
        <f t="shared" si="13"/>
        <v/>
      </c>
      <c r="N17" s="107" t="str">
        <f t="shared" si="13"/>
        <v/>
      </c>
      <c r="O17" s="107" t="str">
        <f t="shared" si="13"/>
        <v/>
      </c>
      <c r="P17" s="107" t="str">
        <f t="shared" si="13"/>
        <v>Y</v>
      </c>
      <c r="Q17" s="107" t="str">
        <f t="shared" si="13"/>
        <v>Y</v>
      </c>
      <c r="R17" s="107" t="str">
        <f t="shared" si="13"/>
        <v>Y</v>
      </c>
      <c r="S17" s="107" t="str">
        <f t="shared" si="13"/>
        <v>Y</v>
      </c>
      <c r="T17" s="107" t="str">
        <f t="shared" si="13"/>
        <v>Y</v>
      </c>
      <c r="U17" s="107" t="str">
        <f t="shared" si="13"/>
        <v>Y</v>
      </c>
      <c r="V17" s="107" t="str">
        <f t="shared" si="13"/>
        <v>Y</v>
      </c>
      <c r="W17" s="107" t="str">
        <f t="shared" si="13"/>
        <v>Y</v>
      </c>
      <c r="X17" s="107" t="str">
        <f t="shared" si="13"/>
        <v>Y</v>
      </c>
      <c r="Y17" s="107" t="str">
        <f t="shared" si="13"/>
        <v>Y</v>
      </c>
      <c r="Z17" s="107" t="str">
        <f t="shared" si="13"/>
        <v>Y</v>
      </c>
      <c r="AA17" s="107" t="str">
        <f t="shared" si="13"/>
        <v>Y</v>
      </c>
      <c r="AB17" s="107" t="str">
        <f t="shared" si="13"/>
        <v>Y</v>
      </c>
      <c r="AC17" s="107" t="str">
        <f t="shared" si="13"/>
        <v>Y</v>
      </c>
      <c r="AD17" s="107" t="str">
        <f t="shared" si="13"/>
        <v>Y</v>
      </c>
      <c r="AE17" s="107" t="str">
        <f t="shared" si="13"/>
        <v>Y</v>
      </c>
      <c r="AF17" s="107" t="str">
        <f t="shared" si="13"/>
        <v>Y</v>
      </c>
      <c r="AG17" s="107" t="str">
        <f t="shared" si="13"/>
        <v>Y</v>
      </c>
      <c r="AH17" s="107" t="str">
        <f t="shared" si="13"/>
        <v>Y</v>
      </c>
      <c r="AI17" s="107" t="str">
        <f t="shared" si="13"/>
        <v>Y</v>
      </c>
      <c r="AJ17" s="107" t="str">
        <f t="shared" si="13"/>
        <v>Y</v>
      </c>
      <c r="AK17" s="107" t="str">
        <f t="shared" si="13"/>
        <v>Y</v>
      </c>
      <c r="AL17" s="107" t="str">
        <f t="shared" si="13"/>
        <v>Y</v>
      </c>
      <c r="AM17" s="107" t="str">
        <f t="shared" si="13"/>
        <v>Y</v>
      </c>
      <c r="AN17" s="107" t="str">
        <f t="shared" si="13"/>
        <v>Y</v>
      </c>
      <c r="AO17" s="107" t="str">
        <f t="shared" si="13"/>
        <v>Y</v>
      </c>
      <c r="AP17" s="107" t="str">
        <f t="shared" si="13"/>
        <v>Y</v>
      </c>
      <c r="AQ17" s="107" t="str">
        <f t="shared" si="13"/>
        <v>Y</v>
      </c>
      <c r="AR17" s="107" t="str">
        <f t="shared" si="13"/>
        <v>Y</v>
      </c>
      <c r="AS17" s="107" t="str">
        <f t="shared" si="13"/>
        <v>Y</v>
      </c>
      <c r="AT17" s="107" t="str">
        <f t="shared" si="13"/>
        <v>Y</v>
      </c>
      <c r="AU17" s="107" t="str">
        <f t="shared" si="13"/>
        <v>Y</v>
      </c>
      <c r="AV17" s="107" t="str">
        <f t="shared" si="13"/>
        <v>Y</v>
      </c>
      <c r="AW17" s="107" t="str">
        <f t="shared" si="13"/>
        <v>Y</v>
      </c>
      <c r="AX17" s="107" t="str">
        <f t="shared" si="13"/>
        <v>Y</v>
      </c>
      <c r="AY17" s="107" t="str">
        <f t="shared" si="13"/>
        <v>Y</v>
      </c>
      <c r="AZ17" s="107" t="str">
        <f t="shared" si="13"/>
        <v>Y</v>
      </c>
      <c r="BA17" s="107" t="str">
        <f t="shared" si="13"/>
        <v>Y</v>
      </c>
      <c r="BB17" s="107" t="str">
        <f t="shared" si="13"/>
        <v>Y</v>
      </c>
      <c r="BC17" s="107" t="str">
        <f t="shared" si="13"/>
        <v>Y</v>
      </c>
      <c r="BD17" s="107" t="str">
        <f t="shared" si="13"/>
        <v>Y</v>
      </c>
      <c r="BE17" s="107" t="str">
        <f t="shared" si="13"/>
        <v/>
      </c>
      <c r="BF17" s="107" t="str">
        <f t="shared" si="13"/>
        <v/>
      </c>
      <c r="BG17" s="107" t="str">
        <f t="shared" si="13"/>
        <v/>
      </c>
      <c r="BH17" s="107" t="str">
        <f t="shared" si="13"/>
        <v/>
      </c>
      <c r="BI17" s="107" t="str">
        <f t="shared" si="13"/>
        <v/>
      </c>
      <c r="BJ17" s="107" t="str">
        <f t="shared" si="13"/>
        <v/>
      </c>
      <c r="BK17" s="107" t="str">
        <f t="shared" si="13"/>
        <v/>
      </c>
      <c r="BL17" s="107" t="str">
        <f t="shared" si="13"/>
        <v/>
      </c>
      <c r="BM17" s="107" t="str">
        <f t="shared" si="13"/>
        <v/>
      </c>
      <c r="BN17" s="107" t="str">
        <f t="shared" si="13"/>
        <v/>
      </c>
      <c r="BO17" s="107" t="str">
        <f t="shared" si="13"/>
        <v/>
      </c>
      <c r="BP17" s="107" t="str">
        <f t="shared" si="13"/>
        <v/>
      </c>
      <c r="BQ17" s="108" t="str">
        <f t="shared" si="13"/>
        <v/>
      </c>
    </row>
    <row r="18" spans="1:69" ht="14.4" thickBot="1" x14ac:dyDescent="0.3">
      <c r="A18" s="6"/>
      <c r="B18" s="7"/>
      <c r="C18" s="7"/>
      <c r="D18" s="7"/>
      <c r="E18" s="7"/>
      <c r="F18" s="57"/>
      <c r="G18" s="57"/>
      <c r="H18" s="81"/>
      <c r="I18" s="87"/>
      <c r="J18" s="93" t="s">
        <v>114</v>
      </c>
      <c r="K18" s="109" t="str">
        <f>IF(AND(K12&gt;=$D$17, K12&lt;=$E$17), "N", "")</f>
        <v/>
      </c>
      <c r="L18" s="110" t="str">
        <f t="shared" ref="L18:BQ18" si="14">IF(AND(L12&gt;=$D$17, L12&lt;=$E$17), "N", "")</f>
        <v/>
      </c>
      <c r="M18" s="110" t="str">
        <f t="shared" si="14"/>
        <v/>
      </c>
      <c r="N18" s="110" t="str">
        <f t="shared" si="14"/>
        <v/>
      </c>
      <c r="O18" s="110" t="str">
        <f t="shared" si="14"/>
        <v/>
      </c>
      <c r="P18" s="110" t="str">
        <f t="shared" si="14"/>
        <v/>
      </c>
      <c r="Q18" s="110" t="str">
        <f t="shared" si="14"/>
        <v>N</v>
      </c>
      <c r="R18" s="110" t="str">
        <f t="shared" si="14"/>
        <v>N</v>
      </c>
      <c r="S18" s="110" t="str">
        <f t="shared" si="14"/>
        <v>N</v>
      </c>
      <c r="T18" s="110" t="str">
        <f t="shared" si="14"/>
        <v>N</v>
      </c>
      <c r="U18" s="110" t="str">
        <f t="shared" si="14"/>
        <v>N</v>
      </c>
      <c r="V18" s="110" t="str">
        <f t="shared" si="14"/>
        <v>N</v>
      </c>
      <c r="W18" s="110" t="str">
        <f t="shared" si="14"/>
        <v>N</v>
      </c>
      <c r="X18" s="110" t="str">
        <f t="shared" si="14"/>
        <v>N</v>
      </c>
      <c r="Y18" s="110" t="str">
        <f t="shared" si="14"/>
        <v>N</v>
      </c>
      <c r="Z18" s="110" t="str">
        <f t="shared" si="14"/>
        <v>N</v>
      </c>
      <c r="AA18" s="110" t="str">
        <f t="shared" si="14"/>
        <v>N</v>
      </c>
      <c r="AB18" s="110" t="str">
        <f t="shared" si="14"/>
        <v>N</v>
      </c>
      <c r="AC18" s="110" t="str">
        <f t="shared" si="14"/>
        <v>N</v>
      </c>
      <c r="AD18" s="110" t="str">
        <f t="shared" si="14"/>
        <v>N</v>
      </c>
      <c r="AE18" s="110" t="str">
        <f t="shared" si="14"/>
        <v>N</v>
      </c>
      <c r="AF18" s="110" t="str">
        <f t="shared" si="14"/>
        <v>N</v>
      </c>
      <c r="AG18" s="110" t="str">
        <f t="shared" si="14"/>
        <v>N</v>
      </c>
      <c r="AH18" s="110" t="str">
        <f t="shared" si="14"/>
        <v>N</v>
      </c>
      <c r="AI18" s="110" t="str">
        <f t="shared" si="14"/>
        <v>N</v>
      </c>
      <c r="AJ18" s="110" t="str">
        <f t="shared" si="14"/>
        <v>N</v>
      </c>
      <c r="AK18" s="110" t="str">
        <f t="shared" si="14"/>
        <v>N</v>
      </c>
      <c r="AL18" s="110" t="str">
        <f t="shared" si="14"/>
        <v>N</v>
      </c>
      <c r="AM18" s="110" t="str">
        <f t="shared" si="14"/>
        <v>N</v>
      </c>
      <c r="AN18" s="110" t="str">
        <f t="shared" si="14"/>
        <v>N</v>
      </c>
      <c r="AO18" s="110" t="str">
        <f t="shared" si="14"/>
        <v>N</v>
      </c>
      <c r="AP18" s="110" t="str">
        <f t="shared" si="14"/>
        <v>N</v>
      </c>
      <c r="AQ18" s="110" t="str">
        <f t="shared" si="14"/>
        <v>N</v>
      </c>
      <c r="AR18" s="110" t="str">
        <f t="shared" si="14"/>
        <v>N</v>
      </c>
      <c r="AS18" s="110" t="str">
        <f t="shared" si="14"/>
        <v>N</v>
      </c>
      <c r="AT18" s="110" t="str">
        <f t="shared" si="14"/>
        <v>N</v>
      </c>
      <c r="AU18" s="110" t="str">
        <f t="shared" si="14"/>
        <v>N</v>
      </c>
      <c r="AV18" s="110" t="str">
        <f t="shared" si="14"/>
        <v/>
      </c>
      <c r="AW18" s="110" t="str">
        <f t="shared" si="14"/>
        <v/>
      </c>
      <c r="AX18" s="110" t="str">
        <f t="shared" si="14"/>
        <v/>
      </c>
      <c r="AY18" s="110" t="str">
        <f t="shared" si="14"/>
        <v/>
      </c>
      <c r="AZ18" s="110" t="str">
        <f t="shared" si="14"/>
        <v/>
      </c>
      <c r="BA18" s="110" t="str">
        <f t="shared" si="14"/>
        <v/>
      </c>
      <c r="BB18" s="110" t="str">
        <f t="shared" si="14"/>
        <v/>
      </c>
      <c r="BC18" s="110" t="str">
        <f t="shared" si="14"/>
        <v/>
      </c>
      <c r="BD18" s="110" t="str">
        <f t="shared" si="14"/>
        <v/>
      </c>
      <c r="BE18" s="110" t="str">
        <f t="shared" si="14"/>
        <v/>
      </c>
      <c r="BF18" s="110" t="str">
        <f t="shared" si="14"/>
        <v/>
      </c>
      <c r="BG18" s="110" t="str">
        <f t="shared" si="14"/>
        <v/>
      </c>
      <c r="BH18" s="110" t="str">
        <f t="shared" si="14"/>
        <v/>
      </c>
      <c r="BI18" s="110" t="str">
        <f t="shared" si="14"/>
        <v/>
      </c>
      <c r="BJ18" s="110" t="str">
        <f t="shared" si="14"/>
        <v/>
      </c>
      <c r="BK18" s="110" t="str">
        <f t="shared" si="14"/>
        <v/>
      </c>
      <c r="BL18" s="110" t="str">
        <f t="shared" si="14"/>
        <v/>
      </c>
      <c r="BM18" s="110" t="str">
        <f t="shared" si="14"/>
        <v/>
      </c>
      <c r="BN18" s="110" t="str">
        <f t="shared" si="14"/>
        <v/>
      </c>
      <c r="BO18" s="110" t="str">
        <f t="shared" si="14"/>
        <v/>
      </c>
      <c r="BP18" s="110" t="str">
        <f t="shared" si="14"/>
        <v/>
      </c>
      <c r="BQ18" s="111" t="str">
        <f t="shared" si="14"/>
        <v/>
      </c>
    </row>
    <row r="19" spans="1:69" x14ac:dyDescent="0.25">
      <c r="A19" s="4" t="s">
        <v>106</v>
      </c>
      <c r="B19" s="5">
        <v>44567</v>
      </c>
      <c r="C19" s="5">
        <v>44599</v>
      </c>
      <c r="D19" s="5">
        <v>44569</v>
      </c>
      <c r="E19" s="5">
        <v>44598</v>
      </c>
      <c r="F19" s="56">
        <f t="shared" ref="F19" si="15">C19-B19</f>
        <v>32</v>
      </c>
      <c r="G19" s="56">
        <f t="shared" ref="G19" si="16">E19-D19</f>
        <v>29</v>
      </c>
      <c r="H19" s="80" t="str">
        <f t="shared" ref="H19" si="17">IF(D19&gt;B19, "Yes", "No")</f>
        <v>Yes</v>
      </c>
      <c r="I19" s="86" t="str">
        <f t="shared" ref="I19" si="18">IF(E19&gt;C19, "Yes", "No")</f>
        <v>No</v>
      </c>
      <c r="J19" s="112" t="s">
        <v>113</v>
      </c>
      <c r="K19" s="113" t="str">
        <f>IF(AND(K12&gt;=$B$19, K12&lt;=$C$19), "Y", "")</f>
        <v/>
      </c>
      <c r="L19" s="114" t="str">
        <f t="shared" ref="L19:BQ19" si="19">IF(AND(L12&gt;=$B$19, L12&lt;=$C$19), "Y", "")</f>
        <v/>
      </c>
      <c r="M19" s="114" t="str">
        <f t="shared" si="19"/>
        <v/>
      </c>
      <c r="N19" s="114" t="str">
        <f t="shared" si="19"/>
        <v/>
      </c>
      <c r="O19" s="114" t="str">
        <f t="shared" si="19"/>
        <v/>
      </c>
      <c r="P19" s="114" t="str">
        <f t="shared" si="19"/>
        <v>Y</v>
      </c>
      <c r="Q19" s="114" t="str">
        <f t="shared" si="19"/>
        <v>Y</v>
      </c>
      <c r="R19" s="114" t="str">
        <f t="shared" si="19"/>
        <v>Y</v>
      </c>
      <c r="S19" s="114" t="str">
        <f t="shared" si="19"/>
        <v>Y</v>
      </c>
      <c r="T19" s="114" t="str">
        <f t="shared" si="19"/>
        <v>Y</v>
      </c>
      <c r="U19" s="114" t="str">
        <f t="shared" si="19"/>
        <v>Y</v>
      </c>
      <c r="V19" s="114" t="str">
        <f t="shared" si="19"/>
        <v>Y</v>
      </c>
      <c r="W19" s="114" t="str">
        <f t="shared" si="19"/>
        <v>Y</v>
      </c>
      <c r="X19" s="114" t="str">
        <f t="shared" si="19"/>
        <v>Y</v>
      </c>
      <c r="Y19" s="114" t="str">
        <f t="shared" si="19"/>
        <v>Y</v>
      </c>
      <c r="Z19" s="114" t="str">
        <f t="shared" si="19"/>
        <v>Y</v>
      </c>
      <c r="AA19" s="114" t="str">
        <f t="shared" si="19"/>
        <v>Y</v>
      </c>
      <c r="AB19" s="114" t="str">
        <f t="shared" si="19"/>
        <v>Y</v>
      </c>
      <c r="AC19" s="114" t="str">
        <f t="shared" si="19"/>
        <v>Y</v>
      </c>
      <c r="AD19" s="114" t="str">
        <f t="shared" si="19"/>
        <v>Y</v>
      </c>
      <c r="AE19" s="114" t="str">
        <f t="shared" si="19"/>
        <v>Y</v>
      </c>
      <c r="AF19" s="114" t="str">
        <f t="shared" si="19"/>
        <v>Y</v>
      </c>
      <c r="AG19" s="114" t="str">
        <f t="shared" si="19"/>
        <v>Y</v>
      </c>
      <c r="AH19" s="114" t="str">
        <f t="shared" si="19"/>
        <v>Y</v>
      </c>
      <c r="AI19" s="114" t="str">
        <f t="shared" si="19"/>
        <v>Y</v>
      </c>
      <c r="AJ19" s="114" t="str">
        <f t="shared" si="19"/>
        <v>Y</v>
      </c>
      <c r="AK19" s="114" t="str">
        <f t="shared" si="19"/>
        <v>Y</v>
      </c>
      <c r="AL19" s="114" t="str">
        <f t="shared" si="19"/>
        <v>Y</v>
      </c>
      <c r="AM19" s="114" t="str">
        <f t="shared" si="19"/>
        <v>Y</v>
      </c>
      <c r="AN19" s="114" t="str">
        <f t="shared" si="19"/>
        <v>Y</v>
      </c>
      <c r="AO19" s="114" t="str">
        <f t="shared" si="19"/>
        <v>Y</v>
      </c>
      <c r="AP19" s="114" t="str">
        <f t="shared" si="19"/>
        <v>Y</v>
      </c>
      <c r="AQ19" s="114" t="str">
        <f t="shared" si="19"/>
        <v>Y</v>
      </c>
      <c r="AR19" s="114" t="str">
        <f t="shared" si="19"/>
        <v>Y</v>
      </c>
      <c r="AS19" s="114" t="str">
        <f t="shared" si="19"/>
        <v>Y</v>
      </c>
      <c r="AT19" s="114" t="str">
        <f t="shared" si="19"/>
        <v>Y</v>
      </c>
      <c r="AU19" s="114" t="str">
        <f t="shared" si="19"/>
        <v>Y</v>
      </c>
      <c r="AV19" s="114" t="str">
        <f t="shared" si="19"/>
        <v>Y</v>
      </c>
      <c r="AW19" s="114" t="str">
        <f t="shared" si="19"/>
        <v/>
      </c>
      <c r="AX19" s="114" t="str">
        <f t="shared" si="19"/>
        <v/>
      </c>
      <c r="AY19" s="114" t="str">
        <f t="shared" si="19"/>
        <v/>
      </c>
      <c r="AZ19" s="114" t="str">
        <f t="shared" si="19"/>
        <v/>
      </c>
      <c r="BA19" s="114" t="str">
        <f t="shared" si="19"/>
        <v/>
      </c>
      <c r="BB19" s="114" t="str">
        <f t="shared" si="19"/>
        <v/>
      </c>
      <c r="BC19" s="114" t="str">
        <f t="shared" si="19"/>
        <v/>
      </c>
      <c r="BD19" s="114" t="str">
        <f t="shared" si="19"/>
        <v/>
      </c>
      <c r="BE19" s="114" t="str">
        <f t="shared" si="19"/>
        <v/>
      </c>
      <c r="BF19" s="114" t="str">
        <f t="shared" si="19"/>
        <v/>
      </c>
      <c r="BG19" s="114" t="str">
        <f t="shared" si="19"/>
        <v/>
      </c>
      <c r="BH19" s="114" t="str">
        <f t="shared" si="19"/>
        <v/>
      </c>
      <c r="BI19" s="114" t="str">
        <f t="shared" si="19"/>
        <v/>
      </c>
      <c r="BJ19" s="114" t="str">
        <f t="shared" si="19"/>
        <v/>
      </c>
      <c r="BK19" s="114" t="str">
        <f t="shared" si="19"/>
        <v/>
      </c>
      <c r="BL19" s="114" t="str">
        <f t="shared" si="19"/>
        <v/>
      </c>
      <c r="BM19" s="114" t="str">
        <f t="shared" si="19"/>
        <v/>
      </c>
      <c r="BN19" s="114" t="str">
        <f t="shared" si="19"/>
        <v/>
      </c>
      <c r="BO19" s="114" t="str">
        <f t="shared" si="19"/>
        <v/>
      </c>
      <c r="BP19" s="114" t="str">
        <f t="shared" si="19"/>
        <v/>
      </c>
      <c r="BQ19" s="115" t="str">
        <f t="shared" si="19"/>
        <v/>
      </c>
    </row>
    <row r="20" spans="1:69" ht="14.4" thickBot="1" x14ac:dyDescent="0.3">
      <c r="A20" s="6"/>
      <c r="B20" s="7"/>
      <c r="C20" s="7"/>
      <c r="D20" s="7"/>
      <c r="E20" s="7"/>
      <c r="F20" s="57"/>
      <c r="G20" s="57"/>
      <c r="H20" s="81"/>
      <c r="I20" s="87"/>
      <c r="J20" s="116" t="s">
        <v>114</v>
      </c>
      <c r="K20" s="117" t="str">
        <f>IF(AND(K12&gt;=$D$19, K12&lt;=$E$19), "N", "")</f>
        <v/>
      </c>
      <c r="L20" s="118" t="str">
        <f t="shared" ref="L20:BQ20" si="20">IF(AND(L12&gt;=$D$19, L12&lt;=$E$19), "N", "")</f>
        <v/>
      </c>
      <c r="M20" s="118" t="str">
        <f t="shared" si="20"/>
        <v/>
      </c>
      <c r="N20" s="118" t="str">
        <f t="shared" si="20"/>
        <v/>
      </c>
      <c r="O20" s="118" t="str">
        <f t="shared" si="20"/>
        <v/>
      </c>
      <c r="P20" s="118" t="str">
        <f t="shared" si="20"/>
        <v/>
      </c>
      <c r="Q20" s="118" t="str">
        <f t="shared" si="20"/>
        <v/>
      </c>
      <c r="R20" s="118" t="str">
        <f t="shared" si="20"/>
        <v>N</v>
      </c>
      <c r="S20" s="118" t="str">
        <f t="shared" si="20"/>
        <v>N</v>
      </c>
      <c r="T20" s="118" t="str">
        <f t="shared" si="20"/>
        <v>N</v>
      </c>
      <c r="U20" s="118" t="str">
        <f t="shared" si="20"/>
        <v>N</v>
      </c>
      <c r="V20" s="118" t="str">
        <f t="shared" si="20"/>
        <v>N</v>
      </c>
      <c r="W20" s="118" t="str">
        <f t="shared" si="20"/>
        <v>N</v>
      </c>
      <c r="X20" s="118" t="str">
        <f t="shared" si="20"/>
        <v>N</v>
      </c>
      <c r="Y20" s="118" t="str">
        <f t="shared" si="20"/>
        <v>N</v>
      </c>
      <c r="Z20" s="118" t="str">
        <f t="shared" si="20"/>
        <v>N</v>
      </c>
      <c r="AA20" s="118" t="str">
        <f t="shared" si="20"/>
        <v>N</v>
      </c>
      <c r="AB20" s="118" t="str">
        <f t="shared" si="20"/>
        <v>N</v>
      </c>
      <c r="AC20" s="118" t="str">
        <f t="shared" si="20"/>
        <v>N</v>
      </c>
      <c r="AD20" s="118" t="str">
        <f t="shared" si="20"/>
        <v>N</v>
      </c>
      <c r="AE20" s="118" t="str">
        <f t="shared" si="20"/>
        <v>N</v>
      </c>
      <c r="AF20" s="118" t="str">
        <f t="shared" si="20"/>
        <v>N</v>
      </c>
      <c r="AG20" s="118" t="str">
        <f t="shared" si="20"/>
        <v>N</v>
      </c>
      <c r="AH20" s="118" t="str">
        <f t="shared" si="20"/>
        <v>N</v>
      </c>
      <c r="AI20" s="118" t="str">
        <f t="shared" si="20"/>
        <v>N</v>
      </c>
      <c r="AJ20" s="118" t="str">
        <f t="shared" si="20"/>
        <v>N</v>
      </c>
      <c r="AK20" s="118" t="str">
        <f t="shared" si="20"/>
        <v>N</v>
      </c>
      <c r="AL20" s="118" t="str">
        <f t="shared" si="20"/>
        <v>N</v>
      </c>
      <c r="AM20" s="118" t="str">
        <f t="shared" si="20"/>
        <v>N</v>
      </c>
      <c r="AN20" s="118" t="str">
        <f t="shared" si="20"/>
        <v>N</v>
      </c>
      <c r="AO20" s="118" t="str">
        <f t="shared" si="20"/>
        <v>N</v>
      </c>
      <c r="AP20" s="118" t="str">
        <f t="shared" si="20"/>
        <v>N</v>
      </c>
      <c r="AQ20" s="118" t="str">
        <f t="shared" si="20"/>
        <v>N</v>
      </c>
      <c r="AR20" s="118" t="str">
        <f t="shared" si="20"/>
        <v>N</v>
      </c>
      <c r="AS20" s="118" t="str">
        <f t="shared" si="20"/>
        <v>N</v>
      </c>
      <c r="AT20" s="118" t="str">
        <f t="shared" si="20"/>
        <v>N</v>
      </c>
      <c r="AU20" s="118" t="str">
        <f t="shared" si="20"/>
        <v>N</v>
      </c>
      <c r="AV20" s="118" t="str">
        <f t="shared" si="20"/>
        <v/>
      </c>
      <c r="AW20" s="118" t="str">
        <f t="shared" si="20"/>
        <v/>
      </c>
      <c r="AX20" s="118" t="str">
        <f t="shared" si="20"/>
        <v/>
      </c>
      <c r="AY20" s="118" t="str">
        <f t="shared" si="20"/>
        <v/>
      </c>
      <c r="AZ20" s="118" t="str">
        <f t="shared" si="20"/>
        <v/>
      </c>
      <c r="BA20" s="118" t="str">
        <f t="shared" si="20"/>
        <v/>
      </c>
      <c r="BB20" s="118" t="str">
        <f t="shared" si="20"/>
        <v/>
      </c>
      <c r="BC20" s="118" t="str">
        <f t="shared" si="20"/>
        <v/>
      </c>
      <c r="BD20" s="118" t="str">
        <f t="shared" si="20"/>
        <v/>
      </c>
      <c r="BE20" s="118" t="str">
        <f t="shared" si="20"/>
        <v/>
      </c>
      <c r="BF20" s="118" t="str">
        <f t="shared" si="20"/>
        <v/>
      </c>
      <c r="BG20" s="118" t="str">
        <f t="shared" si="20"/>
        <v/>
      </c>
      <c r="BH20" s="118" t="str">
        <f t="shared" si="20"/>
        <v/>
      </c>
      <c r="BI20" s="118" t="str">
        <f t="shared" si="20"/>
        <v/>
      </c>
      <c r="BJ20" s="118" t="str">
        <f t="shared" si="20"/>
        <v/>
      </c>
      <c r="BK20" s="118" t="str">
        <f t="shared" si="20"/>
        <v/>
      </c>
      <c r="BL20" s="118" t="str">
        <f t="shared" si="20"/>
        <v/>
      </c>
      <c r="BM20" s="118" t="str">
        <f t="shared" si="20"/>
        <v/>
      </c>
      <c r="BN20" s="118" t="str">
        <f t="shared" si="20"/>
        <v/>
      </c>
      <c r="BO20" s="118" t="str">
        <f t="shared" si="20"/>
        <v/>
      </c>
      <c r="BP20" s="118" t="str">
        <f t="shared" si="20"/>
        <v/>
      </c>
      <c r="BQ20" s="119" t="str">
        <f t="shared" si="20"/>
        <v/>
      </c>
    </row>
    <row r="21" spans="1:69" x14ac:dyDescent="0.25">
      <c r="A21" s="4" t="s">
        <v>107</v>
      </c>
      <c r="B21" s="5">
        <v>44569</v>
      </c>
      <c r="C21" s="5">
        <v>44581</v>
      </c>
      <c r="D21" s="5">
        <v>44568</v>
      </c>
      <c r="E21" s="5">
        <v>44598</v>
      </c>
      <c r="F21" s="56">
        <f t="shared" ref="F21" si="21">C21-B21</f>
        <v>12</v>
      </c>
      <c r="G21" s="56">
        <f t="shared" ref="G21" si="22">E21-D21</f>
        <v>30</v>
      </c>
      <c r="H21" s="80" t="str">
        <f t="shared" ref="H21" si="23">IF(D21&gt;B21, "Yes", "No")</f>
        <v>No</v>
      </c>
      <c r="I21" s="86" t="str">
        <f t="shared" ref="I21" si="24">IF(E21&gt;C21, "Yes", "No")</f>
        <v>Yes</v>
      </c>
      <c r="J21" s="120" t="s">
        <v>113</v>
      </c>
      <c r="K21" s="121" t="str">
        <f>IF(AND(K12&gt;=$B$21, K12&lt;=$C$21), "Y", "")</f>
        <v/>
      </c>
      <c r="L21" s="122" t="str">
        <f t="shared" ref="L21:BQ21" si="25">IF(AND(L12&gt;=$B$21, L12&lt;=$C$21), "Y", "")</f>
        <v/>
      </c>
      <c r="M21" s="122" t="str">
        <f t="shared" si="25"/>
        <v/>
      </c>
      <c r="N21" s="122" t="str">
        <f t="shared" si="25"/>
        <v/>
      </c>
      <c r="O21" s="122" t="str">
        <f t="shared" si="25"/>
        <v/>
      </c>
      <c r="P21" s="122" t="str">
        <f t="shared" si="25"/>
        <v/>
      </c>
      <c r="Q21" s="122" t="str">
        <f t="shared" si="25"/>
        <v/>
      </c>
      <c r="R21" s="122" t="str">
        <f t="shared" si="25"/>
        <v>Y</v>
      </c>
      <c r="S21" s="122" t="str">
        <f t="shared" si="25"/>
        <v>Y</v>
      </c>
      <c r="T21" s="122" t="str">
        <f t="shared" si="25"/>
        <v>Y</v>
      </c>
      <c r="U21" s="122" t="str">
        <f t="shared" si="25"/>
        <v>Y</v>
      </c>
      <c r="V21" s="122" t="str">
        <f t="shared" si="25"/>
        <v>Y</v>
      </c>
      <c r="W21" s="122" t="str">
        <f t="shared" si="25"/>
        <v>Y</v>
      </c>
      <c r="X21" s="122" t="str">
        <f t="shared" si="25"/>
        <v>Y</v>
      </c>
      <c r="Y21" s="122" t="str">
        <f t="shared" si="25"/>
        <v>Y</v>
      </c>
      <c r="Z21" s="122" t="str">
        <f t="shared" si="25"/>
        <v>Y</v>
      </c>
      <c r="AA21" s="122" t="str">
        <f t="shared" si="25"/>
        <v>Y</v>
      </c>
      <c r="AB21" s="122" t="str">
        <f t="shared" si="25"/>
        <v>Y</v>
      </c>
      <c r="AC21" s="122" t="str">
        <f t="shared" si="25"/>
        <v>Y</v>
      </c>
      <c r="AD21" s="122" t="str">
        <f t="shared" si="25"/>
        <v>Y</v>
      </c>
      <c r="AE21" s="122" t="str">
        <f t="shared" si="25"/>
        <v/>
      </c>
      <c r="AF21" s="122" t="str">
        <f t="shared" si="25"/>
        <v/>
      </c>
      <c r="AG21" s="122" t="str">
        <f t="shared" si="25"/>
        <v/>
      </c>
      <c r="AH21" s="122" t="str">
        <f t="shared" si="25"/>
        <v/>
      </c>
      <c r="AI21" s="122" t="str">
        <f t="shared" si="25"/>
        <v/>
      </c>
      <c r="AJ21" s="122" t="str">
        <f t="shared" si="25"/>
        <v/>
      </c>
      <c r="AK21" s="122" t="str">
        <f t="shared" si="25"/>
        <v/>
      </c>
      <c r="AL21" s="122" t="str">
        <f t="shared" si="25"/>
        <v/>
      </c>
      <c r="AM21" s="122" t="str">
        <f t="shared" si="25"/>
        <v/>
      </c>
      <c r="AN21" s="122" t="str">
        <f t="shared" si="25"/>
        <v/>
      </c>
      <c r="AO21" s="122" t="str">
        <f t="shared" si="25"/>
        <v/>
      </c>
      <c r="AP21" s="122" t="str">
        <f t="shared" si="25"/>
        <v/>
      </c>
      <c r="AQ21" s="122" t="str">
        <f t="shared" si="25"/>
        <v/>
      </c>
      <c r="AR21" s="122" t="str">
        <f t="shared" si="25"/>
        <v/>
      </c>
      <c r="AS21" s="122" t="str">
        <f t="shared" si="25"/>
        <v/>
      </c>
      <c r="AT21" s="122" t="str">
        <f t="shared" si="25"/>
        <v/>
      </c>
      <c r="AU21" s="122" t="str">
        <f t="shared" si="25"/>
        <v/>
      </c>
      <c r="AV21" s="122" t="str">
        <f t="shared" si="25"/>
        <v/>
      </c>
      <c r="AW21" s="122" t="str">
        <f t="shared" si="25"/>
        <v/>
      </c>
      <c r="AX21" s="122" t="str">
        <f t="shared" si="25"/>
        <v/>
      </c>
      <c r="AY21" s="122" t="str">
        <f t="shared" si="25"/>
        <v/>
      </c>
      <c r="AZ21" s="122" t="str">
        <f t="shared" si="25"/>
        <v/>
      </c>
      <c r="BA21" s="122" t="str">
        <f t="shared" si="25"/>
        <v/>
      </c>
      <c r="BB21" s="122" t="str">
        <f t="shared" si="25"/>
        <v/>
      </c>
      <c r="BC21" s="122" t="str">
        <f t="shared" si="25"/>
        <v/>
      </c>
      <c r="BD21" s="122" t="str">
        <f t="shared" si="25"/>
        <v/>
      </c>
      <c r="BE21" s="122" t="str">
        <f t="shared" si="25"/>
        <v/>
      </c>
      <c r="BF21" s="122" t="str">
        <f t="shared" si="25"/>
        <v/>
      </c>
      <c r="BG21" s="122" t="str">
        <f t="shared" si="25"/>
        <v/>
      </c>
      <c r="BH21" s="122" t="str">
        <f t="shared" si="25"/>
        <v/>
      </c>
      <c r="BI21" s="122" t="str">
        <f t="shared" si="25"/>
        <v/>
      </c>
      <c r="BJ21" s="122" t="str">
        <f t="shared" si="25"/>
        <v/>
      </c>
      <c r="BK21" s="122" t="str">
        <f t="shared" si="25"/>
        <v/>
      </c>
      <c r="BL21" s="122" t="str">
        <f t="shared" si="25"/>
        <v/>
      </c>
      <c r="BM21" s="122" t="str">
        <f t="shared" si="25"/>
        <v/>
      </c>
      <c r="BN21" s="122" t="str">
        <f t="shared" si="25"/>
        <v/>
      </c>
      <c r="BO21" s="122" t="str">
        <f t="shared" si="25"/>
        <v/>
      </c>
      <c r="BP21" s="122" t="str">
        <f t="shared" si="25"/>
        <v/>
      </c>
      <c r="BQ21" s="123" t="str">
        <f t="shared" si="25"/>
        <v/>
      </c>
    </row>
    <row r="22" spans="1:69" ht="14.4" thickBot="1" x14ac:dyDescent="0.3">
      <c r="A22" s="6"/>
      <c r="B22" s="7"/>
      <c r="C22" s="7"/>
      <c r="D22" s="7"/>
      <c r="E22" s="7"/>
      <c r="F22" s="57"/>
      <c r="G22" s="57"/>
      <c r="H22" s="81"/>
      <c r="I22" s="87"/>
      <c r="J22" s="124" t="s">
        <v>114</v>
      </c>
      <c r="K22" s="125" t="str">
        <f>IF(AND(K12&gt;=$D$21, K12&lt;=$E$21), "N", "")</f>
        <v/>
      </c>
      <c r="L22" s="126" t="str">
        <f t="shared" ref="L22:BQ22" si="26">IF(AND(L12&gt;=$D$21, L12&lt;=$E$21), "N", "")</f>
        <v/>
      </c>
      <c r="M22" s="126" t="str">
        <f t="shared" si="26"/>
        <v/>
      </c>
      <c r="N22" s="126" t="str">
        <f t="shared" si="26"/>
        <v/>
      </c>
      <c r="O22" s="126" t="str">
        <f t="shared" si="26"/>
        <v/>
      </c>
      <c r="P22" s="126" t="str">
        <f t="shared" si="26"/>
        <v/>
      </c>
      <c r="Q22" s="126" t="str">
        <f t="shared" si="26"/>
        <v>N</v>
      </c>
      <c r="R22" s="126" t="str">
        <f t="shared" si="26"/>
        <v>N</v>
      </c>
      <c r="S22" s="126" t="str">
        <f t="shared" si="26"/>
        <v>N</v>
      </c>
      <c r="T22" s="126" t="str">
        <f t="shared" si="26"/>
        <v>N</v>
      </c>
      <c r="U22" s="126" t="str">
        <f t="shared" si="26"/>
        <v>N</v>
      </c>
      <c r="V22" s="126" t="str">
        <f t="shared" si="26"/>
        <v>N</v>
      </c>
      <c r="W22" s="126" t="str">
        <f t="shared" si="26"/>
        <v>N</v>
      </c>
      <c r="X22" s="126" t="str">
        <f t="shared" si="26"/>
        <v>N</v>
      </c>
      <c r="Y22" s="126" t="str">
        <f t="shared" si="26"/>
        <v>N</v>
      </c>
      <c r="Z22" s="126" t="str">
        <f t="shared" si="26"/>
        <v>N</v>
      </c>
      <c r="AA22" s="126" t="str">
        <f t="shared" si="26"/>
        <v>N</v>
      </c>
      <c r="AB22" s="126" t="str">
        <f t="shared" si="26"/>
        <v>N</v>
      </c>
      <c r="AC22" s="126" t="str">
        <f t="shared" si="26"/>
        <v>N</v>
      </c>
      <c r="AD22" s="126" t="str">
        <f t="shared" si="26"/>
        <v>N</v>
      </c>
      <c r="AE22" s="126" t="str">
        <f t="shared" si="26"/>
        <v>N</v>
      </c>
      <c r="AF22" s="126" t="str">
        <f t="shared" si="26"/>
        <v>N</v>
      </c>
      <c r="AG22" s="126" t="str">
        <f t="shared" si="26"/>
        <v>N</v>
      </c>
      <c r="AH22" s="126" t="str">
        <f t="shared" si="26"/>
        <v>N</v>
      </c>
      <c r="AI22" s="126" t="str">
        <f t="shared" si="26"/>
        <v>N</v>
      </c>
      <c r="AJ22" s="126" t="str">
        <f t="shared" si="26"/>
        <v>N</v>
      </c>
      <c r="AK22" s="126" t="str">
        <f t="shared" si="26"/>
        <v>N</v>
      </c>
      <c r="AL22" s="126" t="str">
        <f t="shared" si="26"/>
        <v>N</v>
      </c>
      <c r="AM22" s="126" t="str">
        <f t="shared" si="26"/>
        <v>N</v>
      </c>
      <c r="AN22" s="126" t="str">
        <f t="shared" si="26"/>
        <v>N</v>
      </c>
      <c r="AO22" s="126" t="str">
        <f t="shared" si="26"/>
        <v>N</v>
      </c>
      <c r="AP22" s="126" t="str">
        <f t="shared" si="26"/>
        <v>N</v>
      </c>
      <c r="AQ22" s="126" t="str">
        <f t="shared" si="26"/>
        <v>N</v>
      </c>
      <c r="AR22" s="126" t="str">
        <f t="shared" si="26"/>
        <v>N</v>
      </c>
      <c r="AS22" s="126" t="str">
        <f t="shared" si="26"/>
        <v>N</v>
      </c>
      <c r="AT22" s="126" t="str">
        <f t="shared" si="26"/>
        <v>N</v>
      </c>
      <c r="AU22" s="126" t="str">
        <f t="shared" si="26"/>
        <v>N</v>
      </c>
      <c r="AV22" s="126" t="str">
        <f t="shared" si="26"/>
        <v/>
      </c>
      <c r="AW22" s="126" t="str">
        <f t="shared" si="26"/>
        <v/>
      </c>
      <c r="AX22" s="126" t="str">
        <f t="shared" si="26"/>
        <v/>
      </c>
      <c r="AY22" s="126" t="str">
        <f t="shared" si="26"/>
        <v/>
      </c>
      <c r="AZ22" s="126" t="str">
        <f t="shared" si="26"/>
        <v/>
      </c>
      <c r="BA22" s="126" t="str">
        <f t="shared" si="26"/>
        <v/>
      </c>
      <c r="BB22" s="126" t="str">
        <f t="shared" si="26"/>
        <v/>
      </c>
      <c r="BC22" s="126" t="str">
        <f t="shared" si="26"/>
        <v/>
      </c>
      <c r="BD22" s="126" t="str">
        <f t="shared" si="26"/>
        <v/>
      </c>
      <c r="BE22" s="126" t="str">
        <f t="shared" si="26"/>
        <v/>
      </c>
      <c r="BF22" s="126" t="str">
        <f t="shared" si="26"/>
        <v/>
      </c>
      <c r="BG22" s="126" t="str">
        <f t="shared" si="26"/>
        <v/>
      </c>
      <c r="BH22" s="126" t="str">
        <f t="shared" si="26"/>
        <v/>
      </c>
      <c r="BI22" s="126" t="str">
        <f t="shared" si="26"/>
        <v/>
      </c>
      <c r="BJ22" s="126" t="str">
        <f t="shared" si="26"/>
        <v/>
      </c>
      <c r="BK22" s="126" t="str">
        <f t="shared" si="26"/>
        <v/>
      </c>
      <c r="BL22" s="126" t="str">
        <f t="shared" si="26"/>
        <v/>
      </c>
      <c r="BM22" s="126" t="str">
        <f t="shared" si="26"/>
        <v/>
      </c>
      <c r="BN22" s="126" t="str">
        <f t="shared" si="26"/>
        <v/>
      </c>
      <c r="BO22" s="126" t="str">
        <f t="shared" si="26"/>
        <v/>
      </c>
      <c r="BP22" s="126" t="str">
        <f t="shared" si="26"/>
        <v/>
      </c>
      <c r="BQ22" s="127" t="str">
        <f t="shared" si="26"/>
        <v/>
      </c>
    </row>
    <row r="23" spans="1:69" x14ac:dyDescent="0.25">
      <c r="K23" s="3"/>
    </row>
    <row r="24" spans="1:69" x14ac:dyDescent="0.25">
      <c r="K24" s="3"/>
    </row>
    <row r="25" spans="1:69" x14ac:dyDescent="0.25">
      <c r="A25" s="1" t="s">
        <v>108</v>
      </c>
    </row>
    <row r="26" spans="1:69" x14ac:dyDescent="0.25">
      <c r="A26" s="1" t="s">
        <v>109</v>
      </c>
      <c r="P26" s="40" t="s">
        <v>123</v>
      </c>
      <c r="Q26" s="40"/>
      <c r="R26" s="40"/>
      <c r="S26" s="40"/>
      <c r="T26" s="76" t="s">
        <v>124</v>
      </c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</row>
    <row r="27" spans="1:69" x14ac:dyDescent="0.25">
      <c r="A27" s="1" t="s">
        <v>110</v>
      </c>
      <c r="P27" s="40" t="s">
        <v>125</v>
      </c>
      <c r="Q27" s="40"/>
      <c r="R27" s="40"/>
      <c r="S27" s="40"/>
      <c r="T27" s="77" t="s">
        <v>126</v>
      </c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9"/>
    </row>
    <row r="28" spans="1:69" x14ac:dyDescent="0.25">
      <c r="A28" s="1" t="s">
        <v>112</v>
      </c>
      <c r="P28" s="40" t="s">
        <v>127</v>
      </c>
      <c r="Q28" s="40"/>
      <c r="R28" s="40"/>
      <c r="S28" s="40"/>
      <c r="T28" s="77" t="s">
        <v>128</v>
      </c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9"/>
    </row>
    <row r="29" spans="1:69" x14ac:dyDescent="0.25">
      <c r="A29" s="1" t="s">
        <v>111</v>
      </c>
      <c r="P29" s="40" t="s">
        <v>129</v>
      </c>
      <c r="Q29" s="40"/>
      <c r="R29" s="40"/>
      <c r="S29" s="40"/>
      <c r="T29" s="77" t="s">
        <v>130</v>
      </c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9"/>
    </row>
    <row r="30" spans="1:69" x14ac:dyDescent="0.25">
      <c r="P30" s="38"/>
      <c r="Q30" s="38"/>
      <c r="R30" s="38"/>
      <c r="S30" s="38"/>
    </row>
    <row r="33" spans="3:13" x14ac:dyDescent="0.25">
      <c r="C33" s="39" t="s">
        <v>117</v>
      </c>
      <c r="D33" s="40" t="s">
        <v>118</v>
      </c>
      <c r="E33" s="40"/>
      <c r="F33" s="40"/>
      <c r="G33" s="40"/>
      <c r="H33" s="40"/>
      <c r="I33" s="40"/>
      <c r="J33" s="40"/>
      <c r="K33" s="40"/>
      <c r="L33" s="40"/>
      <c r="M33" s="40"/>
    </row>
    <row r="34" spans="3:13" ht="14.4" x14ac:dyDescent="0.3">
      <c r="C34"/>
    </row>
  </sheetData>
  <mergeCells count="83">
    <mergeCell ref="X5:AA5"/>
    <mergeCell ref="X6:AA6"/>
    <mergeCell ref="O5:W5"/>
    <mergeCell ref="O6:W6"/>
    <mergeCell ref="J4:AB4"/>
    <mergeCell ref="K9:N9"/>
    <mergeCell ref="K8:AA8"/>
    <mergeCell ref="K7:AA7"/>
    <mergeCell ref="K5:N5"/>
    <mergeCell ref="K6:N6"/>
    <mergeCell ref="T26:AG26"/>
    <mergeCell ref="T27:AG27"/>
    <mergeCell ref="T28:AG28"/>
    <mergeCell ref="T29:AG29"/>
    <mergeCell ref="F5:I5"/>
    <mergeCell ref="F6:I6"/>
    <mergeCell ref="F7:I7"/>
    <mergeCell ref="F8:I8"/>
    <mergeCell ref="F9:I9"/>
    <mergeCell ref="D33:M33"/>
    <mergeCell ref="P26:S26"/>
    <mergeCell ref="P27:S27"/>
    <mergeCell ref="P28:S28"/>
    <mergeCell ref="P29:S29"/>
    <mergeCell ref="P30:S30"/>
    <mergeCell ref="E15:E16"/>
    <mergeCell ref="F15:F16"/>
    <mergeCell ref="F17:F18"/>
    <mergeCell ref="A4:C4"/>
    <mergeCell ref="D4:E4"/>
    <mergeCell ref="A5:C5"/>
    <mergeCell ref="D5:E5"/>
    <mergeCell ref="A6:C6"/>
    <mergeCell ref="D6:E6"/>
    <mergeCell ref="A9:C9"/>
    <mergeCell ref="D9:E9"/>
    <mergeCell ref="A7:C7"/>
    <mergeCell ref="D7:E7"/>
    <mergeCell ref="A8:C8"/>
    <mergeCell ref="D8:E8"/>
    <mergeCell ref="F4:I4"/>
    <mergeCell ref="F13:F14"/>
    <mergeCell ref="G13:G14"/>
    <mergeCell ref="H13:H14"/>
    <mergeCell ref="I13:I14"/>
    <mergeCell ref="A15:A16"/>
    <mergeCell ref="B15:B16"/>
    <mergeCell ref="C15:C16"/>
    <mergeCell ref="A13:A14"/>
    <mergeCell ref="B13:B14"/>
    <mergeCell ref="C13:C14"/>
    <mergeCell ref="D13:D14"/>
    <mergeCell ref="E13:E14"/>
    <mergeCell ref="G15:G16"/>
    <mergeCell ref="H15:H16"/>
    <mergeCell ref="I15:I16"/>
    <mergeCell ref="D15:D16"/>
    <mergeCell ref="A17:A18"/>
    <mergeCell ref="B17:B18"/>
    <mergeCell ref="C17:C18"/>
    <mergeCell ref="D17:D18"/>
    <mergeCell ref="E17:E18"/>
    <mergeCell ref="G17:G18"/>
    <mergeCell ref="H17:H18"/>
    <mergeCell ref="I17:I18"/>
    <mergeCell ref="F19:F20"/>
    <mergeCell ref="G19:G20"/>
    <mergeCell ref="H19:H20"/>
    <mergeCell ref="I19:I20"/>
    <mergeCell ref="F21:F22"/>
    <mergeCell ref="G21:G22"/>
    <mergeCell ref="H21:H22"/>
    <mergeCell ref="I21:I22"/>
    <mergeCell ref="A19:A20"/>
    <mergeCell ref="B19:B20"/>
    <mergeCell ref="C19:C20"/>
    <mergeCell ref="A21:A22"/>
    <mergeCell ref="B21:B22"/>
    <mergeCell ref="C21:C22"/>
    <mergeCell ref="D21:D22"/>
    <mergeCell ref="E21:E22"/>
    <mergeCell ref="D19:D20"/>
    <mergeCell ref="E19:E20"/>
  </mergeCells>
  <conditionalFormatting sqref="K27">
    <cfRule type="colorScale" priority="10">
      <colorScale>
        <cfvo type="num" val="&quot;$H$13&quot;"/>
        <cfvo type="num" val="&quot;$H$15&quot;"/>
        <color rgb="FFFF0000"/>
        <color rgb="FF92D050"/>
      </colorScale>
    </cfRule>
  </conditionalFormatting>
  <conditionalFormatting sqref="H15:H22">
    <cfRule type="expression" dxfId="12" priority="8">
      <formula>IF(D15&gt;B15, "Yes", "No")</formula>
    </cfRule>
  </conditionalFormatting>
  <conditionalFormatting sqref="K13:BQ14">
    <cfRule type="containsText" dxfId="11" priority="6" operator="containsText" text="Y">
      <formula>NOT(ISERROR(SEARCH("Y",K13)))</formula>
    </cfRule>
  </conditionalFormatting>
  <conditionalFormatting sqref="K14:BQ14">
    <cfRule type="containsText" dxfId="10" priority="5" operator="containsText" text="N">
      <formula>NOT(ISERROR(SEARCH("N",K14)))</formula>
    </cfRule>
  </conditionalFormatting>
  <conditionalFormatting sqref="K15:BQ22">
    <cfRule type="containsText" dxfId="9" priority="4" operator="containsText" text="Y">
      <formula>NOT(ISERROR(SEARCH("Y",K15)))</formula>
    </cfRule>
    <cfRule type="containsText" dxfId="8" priority="3" operator="containsText" text="N">
      <formula>NOT(ISERROR(SEARCH("N",K15)))</formula>
    </cfRule>
  </conditionalFormatting>
  <conditionalFormatting sqref="H13:I22">
    <cfRule type="containsText" dxfId="0" priority="2" operator="containsText" text="YES">
      <formula>NOT(ISERROR(SEARCH("YES",H13)))</formula>
    </cfRule>
    <cfRule type="containsText" dxfId="1" priority="1" operator="containsText" text="No">
      <formula>NOT(ISERROR(SEARCH("No",H13)))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6"/>
  <sheetViews>
    <sheetView showGridLines="0" topLeftCell="D1" zoomScale="70" zoomScaleNormal="70" workbookViewId="0">
      <selection activeCell="Q21" sqref="Q21"/>
    </sheetView>
  </sheetViews>
  <sheetFormatPr defaultColWidth="8.77734375" defaultRowHeight="13.8" x14ac:dyDescent="0.25"/>
  <cols>
    <col min="1" max="1" width="17.44140625" style="1" customWidth="1"/>
    <col min="2" max="2" width="15.109375" style="1" customWidth="1"/>
    <col min="3" max="3" width="25.44140625" style="1" customWidth="1"/>
    <col min="4" max="5" width="14.44140625" style="1" customWidth="1"/>
    <col min="6" max="6" width="11.33203125" style="1" customWidth="1"/>
    <col min="7" max="7" width="18.44140625" style="1" customWidth="1"/>
    <col min="8" max="8" width="16.77734375" style="1" customWidth="1"/>
    <col min="9" max="9" width="11.109375" style="1" customWidth="1"/>
    <col min="10" max="10" width="10.77734375" style="1" customWidth="1"/>
    <col min="11" max="11" width="13.5546875" style="1" bestFit="1" customWidth="1"/>
    <col min="12" max="13" width="13.5546875" style="1" customWidth="1"/>
    <col min="14" max="14" width="16.77734375" style="1" customWidth="1"/>
    <col min="15" max="15" width="13.44140625" style="1" customWidth="1"/>
    <col min="16" max="17" width="15.44140625" style="1" customWidth="1"/>
    <col min="18" max="18" width="13.44140625" style="1" customWidth="1"/>
    <col min="19" max="19" width="13.44140625" style="45" customWidth="1"/>
    <col min="20" max="20" width="20.88671875" style="1" customWidth="1"/>
    <col min="21" max="21" width="17" style="1" customWidth="1"/>
    <col min="22" max="26" width="10.6640625" style="1" customWidth="1"/>
    <col min="27" max="27" width="10.33203125" style="1" customWidth="1"/>
    <col min="28" max="16384" width="8.77734375" style="1"/>
  </cols>
  <sheetData>
    <row r="1" spans="1:19" x14ac:dyDescent="0.25">
      <c r="A1" s="11" t="s">
        <v>0</v>
      </c>
      <c r="B1" s="12" t="s">
        <v>1</v>
      </c>
      <c r="C1" s="12"/>
      <c r="D1" s="12"/>
      <c r="E1" s="12"/>
      <c r="F1" s="12"/>
      <c r="G1" s="12"/>
      <c r="H1" s="12"/>
      <c r="I1" s="12"/>
      <c r="J1" s="43"/>
      <c r="K1" s="43"/>
      <c r="L1" s="43"/>
      <c r="M1" s="43"/>
    </row>
    <row r="2" spans="1:19" x14ac:dyDescent="0.25">
      <c r="A2" s="13">
        <v>1</v>
      </c>
      <c r="B2" s="14" t="s">
        <v>87</v>
      </c>
      <c r="C2" s="14"/>
      <c r="D2" s="14"/>
      <c r="E2" s="14"/>
      <c r="F2" s="14"/>
      <c r="G2" s="14"/>
      <c r="H2" s="14"/>
      <c r="I2" s="14"/>
      <c r="J2" s="44"/>
      <c r="K2" s="44"/>
      <c r="L2" s="44"/>
      <c r="M2" s="44"/>
    </row>
    <row r="3" spans="1:19" x14ac:dyDescent="0.25">
      <c r="J3" s="58" t="s">
        <v>120</v>
      </c>
      <c r="K3" s="58"/>
      <c r="L3" s="58"/>
      <c r="M3" s="45"/>
    </row>
    <row r="4" spans="1:19" x14ac:dyDescent="0.25">
      <c r="A4" s="15" t="s">
        <v>2</v>
      </c>
      <c r="B4" s="15"/>
      <c r="C4" s="15"/>
      <c r="D4" s="15"/>
      <c r="E4" s="15"/>
      <c r="F4" s="15"/>
      <c r="G4" s="15"/>
      <c r="H4" s="15"/>
      <c r="I4" s="15"/>
      <c r="J4" s="46"/>
      <c r="K4" s="46"/>
      <c r="L4" s="46"/>
      <c r="M4" s="46"/>
      <c r="O4" s="16" t="s">
        <v>3</v>
      </c>
      <c r="P4" s="16" t="s">
        <v>4</v>
      </c>
      <c r="Q4" s="16" t="s">
        <v>5</v>
      </c>
      <c r="R4" s="16" t="s">
        <v>6</v>
      </c>
      <c r="S4" s="48"/>
    </row>
    <row r="5" spans="1:19" x14ac:dyDescent="0.25">
      <c r="A5" s="17"/>
      <c r="B5" s="17"/>
      <c r="C5" s="17"/>
      <c r="D5" s="17"/>
      <c r="E5" s="17"/>
      <c r="F5" s="17"/>
      <c r="G5" s="17"/>
      <c r="H5" s="17"/>
      <c r="I5" s="17"/>
      <c r="J5" s="42"/>
      <c r="K5" s="42"/>
      <c r="L5" s="42"/>
      <c r="M5" s="42"/>
      <c r="O5" s="18" t="s">
        <v>7</v>
      </c>
      <c r="P5" s="18" t="s">
        <v>8</v>
      </c>
      <c r="Q5" s="18" t="s">
        <v>9</v>
      </c>
      <c r="R5" s="18" t="s">
        <v>10</v>
      </c>
      <c r="S5" s="49"/>
    </row>
    <row r="6" spans="1:19" ht="19.8" customHeight="1" x14ac:dyDescent="0.25">
      <c r="A6" s="19" t="s">
        <v>11</v>
      </c>
      <c r="B6" s="19" t="s">
        <v>12</v>
      </c>
      <c r="C6" s="19" t="s">
        <v>13</v>
      </c>
      <c r="D6" s="19" t="s">
        <v>14</v>
      </c>
      <c r="E6" s="19" t="s">
        <v>15</v>
      </c>
      <c r="F6" s="19" t="s">
        <v>16</v>
      </c>
      <c r="G6" s="19" t="s">
        <v>17</v>
      </c>
      <c r="H6" s="20" t="s">
        <v>3</v>
      </c>
      <c r="I6" s="20" t="s">
        <v>18</v>
      </c>
      <c r="J6" s="16" t="s">
        <v>4</v>
      </c>
      <c r="K6" s="16" t="s">
        <v>5</v>
      </c>
      <c r="L6" s="16" t="s">
        <v>51</v>
      </c>
      <c r="M6" s="16" t="s">
        <v>52</v>
      </c>
      <c r="O6" s="18" t="s">
        <v>19</v>
      </c>
      <c r="P6" s="18" t="s">
        <v>8</v>
      </c>
      <c r="Q6" s="18" t="s">
        <v>10</v>
      </c>
      <c r="R6" s="18" t="s">
        <v>10</v>
      </c>
      <c r="S6" s="49"/>
    </row>
    <row r="7" spans="1:19" ht="15.6" x14ac:dyDescent="0.25">
      <c r="A7" s="21" t="s">
        <v>20</v>
      </c>
      <c r="B7" s="21" t="s">
        <v>21</v>
      </c>
      <c r="C7" s="21" t="s">
        <v>22</v>
      </c>
      <c r="D7" s="21" t="s">
        <v>23</v>
      </c>
      <c r="E7" s="21" t="s">
        <v>24</v>
      </c>
      <c r="F7" s="21" t="s">
        <v>25</v>
      </c>
      <c r="G7" s="21" t="s">
        <v>26</v>
      </c>
      <c r="H7" s="21" t="s">
        <v>27</v>
      </c>
      <c r="I7" s="18" t="s">
        <v>28</v>
      </c>
      <c r="J7" s="18" t="str">
        <f>VLOOKUP(H7, $O$4:$R$8, 2, FALSE)</f>
        <v>C Type</v>
      </c>
      <c r="K7" s="18" t="str">
        <f>VLOOKUP(H7, $O$4:$R$8, 3, FALSE)</f>
        <v>Y</v>
      </c>
      <c r="L7" s="18" t="str">
        <f>VLOOKUP(I7, $O$11:$Q$15, 2, FALSE)</f>
        <v>4G</v>
      </c>
      <c r="M7" s="18" t="str">
        <f>VLOOKUP(I7, $O$11:$Q$15, 3, FALSE)</f>
        <v>NA</v>
      </c>
      <c r="O7" s="18" t="s">
        <v>27</v>
      </c>
      <c r="P7" s="18" t="s">
        <v>29</v>
      </c>
      <c r="Q7" s="18" t="s">
        <v>9</v>
      </c>
      <c r="R7" s="18" t="s">
        <v>9</v>
      </c>
      <c r="S7" s="49"/>
    </row>
    <row r="8" spans="1:19" ht="15.6" x14ac:dyDescent="0.25">
      <c r="A8" s="21" t="s">
        <v>30</v>
      </c>
      <c r="B8" s="21" t="s">
        <v>21</v>
      </c>
      <c r="C8" s="21" t="s">
        <v>31</v>
      </c>
      <c r="D8" s="21" t="s">
        <v>32</v>
      </c>
      <c r="E8" s="21" t="s">
        <v>24</v>
      </c>
      <c r="F8" s="21" t="s">
        <v>25</v>
      </c>
      <c r="G8" s="21" t="s">
        <v>33</v>
      </c>
      <c r="H8" s="21" t="s">
        <v>27</v>
      </c>
      <c r="I8" s="18" t="s">
        <v>34</v>
      </c>
      <c r="J8" s="18" t="str">
        <f t="shared" ref="J8:J36" si="0">VLOOKUP(H8, $O$4:$R$8, 2, FALSE)</f>
        <v>C Type</v>
      </c>
      <c r="K8" s="18" t="str">
        <f t="shared" ref="K8:K36" si="1">VLOOKUP(H8, $O$4:$R$8, 3, FALSE)</f>
        <v>Y</v>
      </c>
      <c r="L8" s="18" t="str">
        <f t="shared" ref="L8:L36" si="2">VLOOKUP(I8, $O$11:$Q$15, 2, FALSE)</f>
        <v>4G</v>
      </c>
      <c r="M8" s="18" t="str">
        <f t="shared" ref="M8:M36" si="3">VLOOKUP(I8, $O$11:$Q$15, 3, FALSE)</f>
        <v>4G</v>
      </c>
      <c r="O8" s="18" t="s">
        <v>35</v>
      </c>
      <c r="P8" s="18" t="s">
        <v>29</v>
      </c>
      <c r="Q8" s="18" t="s">
        <v>10</v>
      </c>
      <c r="R8" s="18" t="s">
        <v>10</v>
      </c>
      <c r="S8" s="49"/>
    </row>
    <row r="9" spans="1:19" ht="15.6" x14ac:dyDescent="0.25">
      <c r="A9" s="21" t="s">
        <v>36</v>
      </c>
      <c r="B9" s="21" t="s">
        <v>21</v>
      </c>
      <c r="C9" s="21" t="s">
        <v>37</v>
      </c>
      <c r="D9" s="21" t="s">
        <v>38</v>
      </c>
      <c r="E9" s="21" t="s">
        <v>39</v>
      </c>
      <c r="F9" s="21" t="s">
        <v>25</v>
      </c>
      <c r="G9" s="21" t="s">
        <v>26</v>
      </c>
      <c r="H9" s="21" t="s">
        <v>27</v>
      </c>
      <c r="I9" s="18" t="s">
        <v>40</v>
      </c>
      <c r="J9" s="18" t="str">
        <f t="shared" si="0"/>
        <v>C Type</v>
      </c>
      <c r="K9" s="18" t="str">
        <f t="shared" si="1"/>
        <v>Y</v>
      </c>
      <c r="L9" s="18" t="str">
        <f t="shared" si="2"/>
        <v>5G</v>
      </c>
      <c r="M9" s="18" t="str">
        <f t="shared" si="3"/>
        <v>4G</v>
      </c>
    </row>
    <row r="10" spans="1:19" ht="15.6" x14ac:dyDescent="0.25">
      <c r="A10" s="21" t="s">
        <v>41</v>
      </c>
      <c r="B10" s="21" t="s">
        <v>21</v>
      </c>
      <c r="C10" s="21" t="s">
        <v>42</v>
      </c>
      <c r="D10" s="21" t="s">
        <v>43</v>
      </c>
      <c r="E10" s="21" t="s">
        <v>44</v>
      </c>
      <c r="F10" s="21" t="s">
        <v>45</v>
      </c>
      <c r="G10" s="21" t="s">
        <v>33</v>
      </c>
      <c r="H10" s="21" t="s">
        <v>19</v>
      </c>
      <c r="I10" s="18" t="s">
        <v>28</v>
      </c>
      <c r="J10" s="18" t="str">
        <f t="shared" si="0"/>
        <v>USB</v>
      </c>
      <c r="K10" s="18" t="str">
        <f t="shared" si="1"/>
        <v>N</v>
      </c>
      <c r="L10" s="18" t="str">
        <f t="shared" si="2"/>
        <v>4G</v>
      </c>
      <c r="M10" s="18" t="str">
        <f t="shared" si="3"/>
        <v>NA</v>
      </c>
    </row>
    <row r="11" spans="1:19" ht="15.6" x14ac:dyDescent="0.25">
      <c r="A11" s="21" t="s">
        <v>46</v>
      </c>
      <c r="B11" s="21" t="s">
        <v>21</v>
      </c>
      <c r="C11" s="21" t="s">
        <v>37</v>
      </c>
      <c r="D11" s="21" t="s">
        <v>32</v>
      </c>
      <c r="E11" s="21" t="s">
        <v>47</v>
      </c>
      <c r="F11" s="21" t="s">
        <v>48</v>
      </c>
      <c r="G11" s="21" t="s">
        <v>49</v>
      </c>
      <c r="H11" s="21" t="s">
        <v>7</v>
      </c>
      <c r="I11" s="18" t="s">
        <v>50</v>
      </c>
      <c r="J11" s="18" t="str">
        <f t="shared" si="0"/>
        <v>USB</v>
      </c>
      <c r="K11" s="18" t="str">
        <f t="shared" si="1"/>
        <v>Y</v>
      </c>
      <c r="L11" s="18" t="str">
        <f t="shared" si="2"/>
        <v>5G</v>
      </c>
      <c r="M11" s="18" t="str">
        <f t="shared" si="3"/>
        <v>5G</v>
      </c>
      <c r="O11" s="16" t="s">
        <v>18</v>
      </c>
      <c r="P11" s="16" t="s">
        <v>51</v>
      </c>
      <c r="Q11" s="16" t="s">
        <v>52</v>
      </c>
    </row>
    <row r="12" spans="1:19" ht="15.6" x14ac:dyDescent="0.25">
      <c r="A12" s="21" t="s">
        <v>53</v>
      </c>
      <c r="B12" s="21" t="s">
        <v>21</v>
      </c>
      <c r="C12" s="21" t="s">
        <v>22</v>
      </c>
      <c r="D12" s="21" t="s">
        <v>43</v>
      </c>
      <c r="E12" s="21" t="s">
        <v>39</v>
      </c>
      <c r="F12" s="21" t="s">
        <v>54</v>
      </c>
      <c r="G12" s="21" t="s">
        <v>26</v>
      </c>
      <c r="H12" s="21" t="s">
        <v>7</v>
      </c>
      <c r="I12" s="18" t="s">
        <v>34</v>
      </c>
      <c r="J12" s="18" t="str">
        <f t="shared" si="0"/>
        <v>USB</v>
      </c>
      <c r="K12" s="18" t="str">
        <f t="shared" si="1"/>
        <v>Y</v>
      </c>
      <c r="L12" s="18" t="str">
        <f t="shared" si="2"/>
        <v>4G</v>
      </c>
      <c r="M12" s="18" t="str">
        <f t="shared" si="3"/>
        <v>4G</v>
      </c>
      <c r="O12" s="18" t="s">
        <v>28</v>
      </c>
      <c r="P12" s="18" t="s">
        <v>55</v>
      </c>
      <c r="Q12" s="18" t="s">
        <v>56</v>
      </c>
    </row>
    <row r="13" spans="1:19" ht="15.6" x14ac:dyDescent="0.25">
      <c r="A13" s="21" t="s">
        <v>57</v>
      </c>
      <c r="B13" s="21" t="s">
        <v>21</v>
      </c>
      <c r="C13" s="21" t="s">
        <v>37</v>
      </c>
      <c r="D13" s="21" t="s">
        <v>38</v>
      </c>
      <c r="E13" s="21" t="s">
        <v>24</v>
      </c>
      <c r="F13" s="21" t="s">
        <v>25</v>
      </c>
      <c r="G13" s="21" t="s">
        <v>49</v>
      </c>
      <c r="H13" s="21" t="s">
        <v>19</v>
      </c>
      <c r="I13" s="18" t="s">
        <v>40</v>
      </c>
      <c r="J13" s="18" t="str">
        <f t="shared" si="0"/>
        <v>USB</v>
      </c>
      <c r="K13" s="18" t="str">
        <f t="shared" si="1"/>
        <v>N</v>
      </c>
      <c r="L13" s="18" t="str">
        <f t="shared" si="2"/>
        <v>5G</v>
      </c>
      <c r="M13" s="18" t="str">
        <f t="shared" si="3"/>
        <v>4G</v>
      </c>
      <c r="O13" s="18" t="s">
        <v>34</v>
      </c>
      <c r="P13" s="18" t="s">
        <v>55</v>
      </c>
      <c r="Q13" s="18" t="s">
        <v>55</v>
      </c>
    </row>
    <row r="14" spans="1:19" ht="15.6" x14ac:dyDescent="0.25">
      <c r="A14" s="21" t="s">
        <v>58</v>
      </c>
      <c r="B14" s="21" t="s">
        <v>21</v>
      </c>
      <c r="C14" s="21" t="s">
        <v>37</v>
      </c>
      <c r="D14" s="21" t="s">
        <v>32</v>
      </c>
      <c r="E14" s="21" t="s">
        <v>39</v>
      </c>
      <c r="F14" s="21" t="s">
        <v>45</v>
      </c>
      <c r="G14" s="21" t="s">
        <v>26</v>
      </c>
      <c r="H14" s="21" t="s">
        <v>35</v>
      </c>
      <c r="I14" s="18" t="s">
        <v>50</v>
      </c>
      <c r="J14" s="18" t="str">
        <f t="shared" si="0"/>
        <v>C Type</v>
      </c>
      <c r="K14" s="18" t="str">
        <f t="shared" si="1"/>
        <v>N</v>
      </c>
      <c r="L14" s="18" t="str">
        <f t="shared" si="2"/>
        <v>5G</v>
      </c>
      <c r="M14" s="18" t="str">
        <f t="shared" si="3"/>
        <v>5G</v>
      </c>
      <c r="O14" s="18" t="s">
        <v>40</v>
      </c>
      <c r="P14" s="18" t="s">
        <v>59</v>
      </c>
      <c r="Q14" s="18" t="s">
        <v>55</v>
      </c>
    </row>
    <row r="15" spans="1:19" ht="15.6" x14ac:dyDescent="0.25">
      <c r="A15" s="21" t="s">
        <v>60</v>
      </c>
      <c r="B15" s="21" t="s">
        <v>61</v>
      </c>
      <c r="C15" s="21" t="s">
        <v>22</v>
      </c>
      <c r="D15" s="21" t="s">
        <v>43</v>
      </c>
      <c r="E15" s="21" t="s">
        <v>47</v>
      </c>
      <c r="F15" s="21" t="s">
        <v>45</v>
      </c>
      <c r="G15" s="21" t="s">
        <v>26</v>
      </c>
      <c r="H15" s="21" t="s">
        <v>7</v>
      </c>
      <c r="I15" s="18" t="s">
        <v>28</v>
      </c>
      <c r="J15" s="18" t="str">
        <f t="shared" si="0"/>
        <v>USB</v>
      </c>
      <c r="K15" s="18" t="str">
        <f t="shared" si="1"/>
        <v>Y</v>
      </c>
      <c r="L15" s="18" t="str">
        <f t="shared" si="2"/>
        <v>4G</v>
      </c>
      <c r="M15" s="18" t="str">
        <f t="shared" si="3"/>
        <v>NA</v>
      </c>
      <c r="O15" s="18" t="s">
        <v>50</v>
      </c>
      <c r="P15" s="18" t="s">
        <v>59</v>
      </c>
      <c r="Q15" s="18" t="s">
        <v>59</v>
      </c>
    </row>
    <row r="16" spans="1:19" ht="15.6" x14ac:dyDescent="0.25">
      <c r="A16" s="21" t="s">
        <v>62</v>
      </c>
      <c r="B16" s="21" t="s">
        <v>61</v>
      </c>
      <c r="C16" s="21" t="s">
        <v>42</v>
      </c>
      <c r="D16" s="21" t="s">
        <v>23</v>
      </c>
      <c r="E16" s="21" t="s">
        <v>44</v>
      </c>
      <c r="F16" s="21" t="s">
        <v>54</v>
      </c>
      <c r="G16" s="21" t="s">
        <v>26</v>
      </c>
      <c r="H16" s="21" t="s">
        <v>19</v>
      </c>
      <c r="I16" s="18" t="s">
        <v>34</v>
      </c>
      <c r="J16" s="18" t="str">
        <f t="shared" si="0"/>
        <v>USB</v>
      </c>
      <c r="K16" s="18" t="str">
        <f t="shared" si="1"/>
        <v>N</v>
      </c>
      <c r="L16" s="18" t="str">
        <f t="shared" si="2"/>
        <v>4G</v>
      </c>
      <c r="M16" s="18" t="str">
        <f t="shared" si="3"/>
        <v>4G</v>
      </c>
    </row>
    <row r="17" spans="1:21" ht="16.2" thickBot="1" x14ac:dyDescent="0.3">
      <c r="A17" s="21" t="s">
        <v>63</v>
      </c>
      <c r="B17" s="21" t="s">
        <v>61</v>
      </c>
      <c r="C17" s="21" t="s">
        <v>37</v>
      </c>
      <c r="D17" s="21" t="s">
        <v>32</v>
      </c>
      <c r="E17" s="21" t="s">
        <v>24</v>
      </c>
      <c r="F17" s="21" t="s">
        <v>25</v>
      </c>
      <c r="G17" s="21" t="s">
        <v>33</v>
      </c>
      <c r="H17" s="21" t="s">
        <v>19</v>
      </c>
      <c r="I17" s="18" t="s">
        <v>34</v>
      </c>
      <c r="J17" s="18" t="str">
        <f t="shared" si="0"/>
        <v>USB</v>
      </c>
      <c r="K17" s="18" t="str">
        <f t="shared" si="1"/>
        <v>N</v>
      </c>
      <c r="L17" s="18" t="str">
        <f t="shared" si="2"/>
        <v>4G</v>
      </c>
      <c r="M17" s="18" t="str">
        <f t="shared" si="3"/>
        <v>4G</v>
      </c>
    </row>
    <row r="18" spans="1:21" ht="16.2" thickBot="1" x14ac:dyDescent="0.3">
      <c r="A18" s="21" t="s">
        <v>64</v>
      </c>
      <c r="B18" s="21" t="s">
        <v>61</v>
      </c>
      <c r="C18" s="21" t="s">
        <v>31</v>
      </c>
      <c r="D18" s="21" t="s">
        <v>38</v>
      </c>
      <c r="E18" s="21" t="s">
        <v>47</v>
      </c>
      <c r="F18" s="21" t="s">
        <v>54</v>
      </c>
      <c r="G18" s="21" t="s">
        <v>26</v>
      </c>
      <c r="H18" s="21" t="s">
        <v>7</v>
      </c>
      <c r="I18" s="18" t="s">
        <v>50</v>
      </c>
      <c r="J18" s="18" t="str">
        <f t="shared" si="0"/>
        <v>USB</v>
      </c>
      <c r="K18" s="18" t="str">
        <f t="shared" si="1"/>
        <v>Y</v>
      </c>
      <c r="L18" s="18" t="str">
        <f t="shared" si="2"/>
        <v>5G</v>
      </c>
      <c r="M18" s="18" t="str">
        <f t="shared" si="3"/>
        <v>5G</v>
      </c>
      <c r="O18" s="22" t="s">
        <v>65</v>
      </c>
      <c r="P18" s="23"/>
      <c r="Q18" s="23"/>
      <c r="R18" s="24"/>
      <c r="S18" s="50"/>
    </row>
    <row r="19" spans="1:21" ht="15.6" x14ac:dyDescent="0.25">
      <c r="A19" s="21" t="s">
        <v>66</v>
      </c>
      <c r="B19" s="21" t="s">
        <v>61</v>
      </c>
      <c r="C19" s="21" t="s">
        <v>42</v>
      </c>
      <c r="D19" s="21" t="s">
        <v>23</v>
      </c>
      <c r="E19" s="21" t="s">
        <v>39</v>
      </c>
      <c r="F19" s="21" t="s">
        <v>25</v>
      </c>
      <c r="G19" s="21" t="s">
        <v>26</v>
      </c>
      <c r="H19" s="21" t="s">
        <v>27</v>
      </c>
      <c r="I19" s="18" t="s">
        <v>28</v>
      </c>
      <c r="J19" s="18" t="str">
        <f t="shared" si="0"/>
        <v>C Type</v>
      </c>
      <c r="K19" s="18" t="str">
        <f t="shared" si="1"/>
        <v>Y</v>
      </c>
      <c r="L19" s="18" t="str">
        <f t="shared" si="2"/>
        <v>4G</v>
      </c>
      <c r="M19" s="18" t="str">
        <f t="shared" si="3"/>
        <v>NA</v>
      </c>
      <c r="O19" s="25"/>
      <c r="R19" s="26"/>
      <c r="S19" s="51"/>
    </row>
    <row r="20" spans="1:21" ht="15.6" x14ac:dyDescent="0.25">
      <c r="A20" s="21" t="s">
        <v>67</v>
      </c>
      <c r="B20" s="21" t="s">
        <v>61</v>
      </c>
      <c r="C20" s="21" t="s">
        <v>22</v>
      </c>
      <c r="D20" s="21" t="s">
        <v>43</v>
      </c>
      <c r="E20" s="21" t="s">
        <v>44</v>
      </c>
      <c r="F20" s="21" t="s">
        <v>25</v>
      </c>
      <c r="G20" s="21" t="s">
        <v>26</v>
      </c>
      <c r="H20" s="21" t="s">
        <v>19</v>
      </c>
      <c r="I20" s="18" t="s">
        <v>40</v>
      </c>
      <c r="J20" s="18" t="str">
        <f t="shared" si="0"/>
        <v>USB</v>
      </c>
      <c r="K20" s="18" t="str">
        <f t="shared" si="1"/>
        <v>N</v>
      </c>
      <c r="L20" s="18" t="str">
        <f t="shared" si="2"/>
        <v>5G</v>
      </c>
      <c r="M20" s="18" t="str">
        <f t="shared" si="3"/>
        <v>4G</v>
      </c>
      <c r="O20" s="25"/>
      <c r="R20" s="26"/>
      <c r="S20" s="51"/>
    </row>
    <row r="21" spans="1:21" ht="15.6" x14ac:dyDescent="0.25">
      <c r="A21" s="21" t="s">
        <v>68</v>
      </c>
      <c r="B21" s="21" t="s">
        <v>61</v>
      </c>
      <c r="C21" s="21" t="s">
        <v>31</v>
      </c>
      <c r="D21" s="21" t="s">
        <v>23</v>
      </c>
      <c r="E21" s="21" t="s">
        <v>47</v>
      </c>
      <c r="F21" s="21" t="s">
        <v>45</v>
      </c>
      <c r="G21" s="21" t="s">
        <v>49</v>
      </c>
      <c r="H21" s="21" t="s">
        <v>19</v>
      </c>
      <c r="I21" s="18" t="s">
        <v>40</v>
      </c>
      <c r="J21" s="18" t="str">
        <f t="shared" si="0"/>
        <v>USB</v>
      </c>
      <c r="K21" s="18" t="str">
        <f t="shared" si="1"/>
        <v>N</v>
      </c>
      <c r="L21" s="18" t="str">
        <f t="shared" si="2"/>
        <v>5G</v>
      </c>
      <c r="M21" s="18" t="str">
        <f t="shared" si="3"/>
        <v>4G</v>
      </c>
      <c r="O21" s="25"/>
      <c r="P21" s="27" t="s">
        <v>11</v>
      </c>
      <c r="Q21" s="28" t="s">
        <v>73</v>
      </c>
      <c r="R21" s="26"/>
      <c r="S21" s="51"/>
    </row>
    <row r="22" spans="1:21" ht="15.6" x14ac:dyDescent="0.25">
      <c r="A22" s="21" t="s">
        <v>69</v>
      </c>
      <c r="B22" s="21" t="s">
        <v>61</v>
      </c>
      <c r="C22" s="21" t="s">
        <v>42</v>
      </c>
      <c r="D22" s="21" t="s">
        <v>38</v>
      </c>
      <c r="E22" s="21" t="s">
        <v>44</v>
      </c>
      <c r="F22" s="21" t="s">
        <v>25</v>
      </c>
      <c r="G22" s="21" t="s">
        <v>26</v>
      </c>
      <c r="H22" s="21" t="s">
        <v>27</v>
      </c>
      <c r="I22" s="18" t="s">
        <v>40</v>
      </c>
      <c r="J22" s="18" t="str">
        <f t="shared" si="0"/>
        <v>C Type</v>
      </c>
      <c r="K22" s="18" t="str">
        <f t="shared" si="1"/>
        <v>Y</v>
      </c>
      <c r="L22" s="18" t="str">
        <f t="shared" si="2"/>
        <v>5G</v>
      </c>
      <c r="M22" s="18" t="str">
        <f t="shared" si="3"/>
        <v>4G</v>
      </c>
      <c r="O22" s="25"/>
      <c r="R22" s="26"/>
      <c r="S22" s="51"/>
    </row>
    <row r="23" spans="1:21" ht="15.6" x14ac:dyDescent="0.25">
      <c r="A23" s="21" t="s">
        <v>70</v>
      </c>
      <c r="B23" s="21" t="s">
        <v>61</v>
      </c>
      <c r="C23" s="21" t="s">
        <v>37</v>
      </c>
      <c r="D23" s="21" t="s">
        <v>32</v>
      </c>
      <c r="E23" s="21" t="s">
        <v>47</v>
      </c>
      <c r="F23" s="21" t="s">
        <v>54</v>
      </c>
      <c r="G23" s="21" t="s">
        <v>26</v>
      </c>
      <c r="H23" s="21" t="s">
        <v>19</v>
      </c>
      <c r="I23" s="18" t="s">
        <v>34</v>
      </c>
      <c r="J23" s="18" t="str">
        <f t="shared" si="0"/>
        <v>USB</v>
      </c>
      <c r="K23" s="18" t="str">
        <f t="shared" si="1"/>
        <v>N</v>
      </c>
      <c r="L23" s="18" t="str">
        <f t="shared" si="2"/>
        <v>4G</v>
      </c>
      <c r="M23" s="18" t="str">
        <f t="shared" si="3"/>
        <v>4G</v>
      </c>
      <c r="O23" s="25"/>
      <c r="P23" s="29" t="s">
        <v>12</v>
      </c>
      <c r="Q23" s="18" t="str">
        <f>VLOOKUP($Q$21, $A$6:$I$36, 2, FALSE)</f>
        <v>Delta</v>
      </c>
      <c r="R23" s="30"/>
      <c r="S23" s="52"/>
    </row>
    <row r="24" spans="1:21" ht="15.6" x14ac:dyDescent="0.25">
      <c r="A24" s="21" t="s">
        <v>71</v>
      </c>
      <c r="B24" s="21" t="s">
        <v>72</v>
      </c>
      <c r="C24" s="21" t="s">
        <v>22</v>
      </c>
      <c r="D24" s="21" t="s">
        <v>23</v>
      </c>
      <c r="E24" s="21" t="s">
        <v>39</v>
      </c>
      <c r="F24" s="21" t="s">
        <v>45</v>
      </c>
      <c r="G24" s="21" t="s">
        <v>26</v>
      </c>
      <c r="H24" s="21" t="s">
        <v>7</v>
      </c>
      <c r="I24" s="18" t="s">
        <v>40</v>
      </c>
      <c r="J24" s="18" t="str">
        <f t="shared" si="0"/>
        <v>USB</v>
      </c>
      <c r="K24" s="18" t="str">
        <f t="shared" si="1"/>
        <v>Y</v>
      </c>
      <c r="L24" s="18" t="str">
        <f t="shared" si="2"/>
        <v>5G</v>
      </c>
      <c r="M24" s="18" t="str">
        <f t="shared" si="3"/>
        <v>4G</v>
      </c>
      <c r="O24" s="25"/>
      <c r="P24" s="29" t="s">
        <v>15</v>
      </c>
      <c r="Q24" s="18" t="str">
        <f>VLOOKUP($Q$21, $A$6:$I$36, 5, FALSE)</f>
        <v>32 GB</v>
      </c>
      <c r="R24" s="30"/>
      <c r="S24" s="52"/>
    </row>
    <row r="25" spans="1:21" ht="15.6" x14ac:dyDescent="0.25">
      <c r="A25" s="21" t="s">
        <v>73</v>
      </c>
      <c r="B25" s="21" t="s">
        <v>72</v>
      </c>
      <c r="C25" s="21" t="s">
        <v>42</v>
      </c>
      <c r="D25" s="21" t="s">
        <v>38</v>
      </c>
      <c r="E25" s="21" t="s">
        <v>44</v>
      </c>
      <c r="F25" s="21" t="s">
        <v>48</v>
      </c>
      <c r="G25" s="21" t="s">
        <v>33</v>
      </c>
      <c r="H25" s="21" t="s">
        <v>27</v>
      </c>
      <c r="I25" s="18" t="s">
        <v>34</v>
      </c>
      <c r="J25" s="18" t="str">
        <f t="shared" si="0"/>
        <v>C Type</v>
      </c>
      <c r="K25" s="18" t="str">
        <f t="shared" si="1"/>
        <v>Y</v>
      </c>
      <c r="L25" s="18" t="str">
        <f t="shared" si="2"/>
        <v>4G</v>
      </c>
      <c r="M25" s="18" t="str">
        <f t="shared" si="3"/>
        <v>4G</v>
      </c>
      <c r="O25" s="25"/>
      <c r="P25" s="29" t="s">
        <v>14</v>
      </c>
      <c r="Q25" s="18" t="str">
        <f>VLOOKUP($Q$21, $A$6:$I$36, 4, FALSE)</f>
        <v>6 GB</v>
      </c>
      <c r="R25" s="30"/>
      <c r="S25" s="52"/>
      <c r="T25" s="59" t="s">
        <v>122</v>
      </c>
      <c r="U25" s="59"/>
    </row>
    <row r="26" spans="1:21" ht="15.6" x14ac:dyDescent="0.25">
      <c r="A26" s="21" t="s">
        <v>74</v>
      </c>
      <c r="B26" s="21" t="s">
        <v>72</v>
      </c>
      <c r="C26" s="21" t="s">
        <v>37</v>
      </c>
      <c r="D26" s="21" t="s">
        <v>32</v>
      </c>
      <c r="E26" s="21" t="s">
        <v>47</v>
      </c>
      <c r="F26" s="21" t="s">
        <v>54</v>
      </c>
      <c r="G26" s="21" t="s">
        <v>26</v>
      </c>
      <c r="H26" s="21" t="s">
        <v>19</v>
      </c>
      <c r="I26" s="18" t="s">
        <v>40</v>
      </c>
      <c r="J26" s="18" t="str">
        <f t="shared" si="0"/>
        <v>USB</v>
      </c>
      <c r="K26" s="18" t="str">
        <f t="shared" si="1"/>
        <v>N</v>
      </c>
      <c r="L26" s="18" t="str">
        <f t="shared" si="2"/>
        <v>5G</v>
      </c>
      <c r="M26" s="18" t="str">
        <f t="shared" si="3"/>
        <v>4G</v>
      </c>
      <c r="O26" s="25"/>
      <c r="P26" s="29" t="s">
        <v>16</v>
      </c>
      <c r="Q26" s="18" t="str">
        <f>VLOOKUP($Q$21, $A$6:$I$36, 6, FALSE)</f>
        <v>6.1 in</v>
      </c>
      <c r="R26" s="30"/>
      <c r="S26" s="52"/>
    </row>
    <row r="27" spans="1:21" ht="15.6" x14ac:dyDescent="0.25">
      <c r="A27" s="21" t="s">
        <v>75</v>
      </c>
      <c r="B27" s="21" t="s">
        <v>72</v>
      </c>
      <c r="C27" s="21" t="s">
        <v>31</v>
      </c>
      <c r="D27" s="21" t="s">
        <v>43</v>
      </c>
      <c r="E27" s="21" t="s">
        <v>39</v>
      </c>
      <c r="F27" s="21" t="s">
        <v>48</v>
      </c>
      <c r="G27" s="21" t="s">
        <v>26</v>
      </c>
      <c r="H27" s="21" t="s">
        <v>27</v>
      </c>
      <c r="I27" s="18" t="s">
        <v>50</v>
      </c>
      <c r="J27" s="18" t="str">
        <f t="shared" si="0"/>
        <v>C Type</v>
      </c>
      <c r="K27" s="18" t="str">
        <f t="shared" si="1"/>
        <v>Y</v>
      </c>
      <c r="L27" s="18" t="str">
        <f t="shared" si="2"/>
        <v>5G</v>
      </c>
      <c r="M27" s="18" t="str">
        <f t="shared" si="3"/>
        <v>5G</v>
      </c>
      <c r="O27" s="25"/>
      <c r="P27" s="20" t="s">
        <v>4</v>
      </c>
      <c r="Q27" s="18" t="str">
        <f>VLOOKUP($Q$21, $A$6:$M$36, 10, FALSE)</f>
        <v>C Type</v>
      </c>
      <c r="R27" s="31" t="str">
        <f>VLOOKUP(Q21,A6:I36,8,FALSE)</f>
        <v>Set 3</v>
      </c>
      <c r="S27" s="53"/>
      <c r="T27" s="60" t="s">
        <v>119</v>
      </c>
      <c r="U27" s="55" t="str">
        <f>VLOOKUP($Q$21, $A$6:$I$36, 8, FALSE)</f>
        <v>Set 3</v>
      </c>
    </row>
    <row r="28" spans="1:21" ht="15.6" x14ac:dyDescent="0.25">
      <c r="A28" s="21" t="s">
        <v>76</v>
      </c>
      <c r="B28" s="21" t="s">
        <v>72</v>
      </c>
      <c r="C28" s="21" t="s">
        <v>22</v>
      </c>
      <c r="D28" s="21" t="s">
        <v>23</v>
      </c>
      <c r="E28" s="21" t="s">
        <v>24</v>
      </c>
      <c r="F28" s="21" t="s">
        <v>25</v>
      </c>
      <c r="G28" s="21" t="s">
        <v>49</v>
      </c>
      <c r="H28" s="21" t="s">
        <v>19</v>
      </c>
      <c r="I28" s="18" t="s">
        <v>28</v>
      </c>
      <c r="J28" s="18" t="str">
        <f t="shared" si="0"/>
        <v>USB</v>
      </c>
      <c r="K28" s="18" t="str">
        <f t="shared" si="1"/>
        <v>N</v>
      </c>
      <c r="L28" s="18" t="str">
        <f t="shared" si="2"/>
        <v>4G</v>
      </c>
      <c r="M28" s="18" t="str">
        <f t="shared" si="3"/>
        <v>NA</v>
      </c>
      <c r="O28" s="25"/>
      <c r="P28" s="20" t="s">
        <v>5</v>
      </c>
      <c r="Q28" s="18" t="str">
        <f>VLOOKUP($Q$21, $A$6:$M$36, 11, FALSE)</f>
        <v>Y</v>
      </c>
      <c r="R28" s="30"/>
      <c r="S28" s="52"/>
      <c r="T28" s="47"/>
      <c r="U28" s="47"/>
    </row>
    <row r="29" spans="1:21" ht="15.6" x14ac:dyDescent="0.25">
      <c r="A29" s="21" t="s">
        <v>77</v>
      </c>
      <c r="B29" s="21" t="s">
        <v>72</v>
      </c>
      <c r="C29" s="21" t="s">
        <v>31</v>
      </c>
      <c r="D29" s="21" t="s">
        <v>38</v>
      </c>
      <c r="E29" s="21" t="s">
        <v>39</v>
      </c>
      <c r="F29" s="21" t="s">
        <v>48</v>
      </c>
      <c r="G29" s="21" t="s">
        <v>26</v>
      </c>
      <c r="H29" s="21" t="s">
        <v>27</v>
      </c>
      <c r="I29" s="18" t="s">
        <v>50</v>
      </c>
      <c r="J29" s="18" t="str">
        <f t="shared" si="0"/>
        <v>C Type</v>
      </c>
      <c r="K29" s="18" t="str">
        <f t="shared" si="1"/>
        <v>Y</v>
      </c>
      <c r="L29" s="18" t="str">
        <f t="shared" si="2"/>
        <v>5G</v>
      </c>
      <c r="M29" s="18" t="str">
        <f t="shared" si="3"/>
        <v>5G</v>
      </c>
      <c r="O29" s="25"/>
      <c r="P29" s="20" t="s">
        <v>51</v>
      </c>
      <c r="Q29" s="18" t="str">
        <f>VLOOKUP($Q$21, $A$6:$M$36, 12, FALSE)</f>
        <v>4G</v>
      </c>
      <c r="R29" s="30" t="str">
        <f>VLOOKUP($Q$21,$A$6:$I$36,9,FALSE)</f>
        <v>SM-2</v>
      </c>
      <c r="S29" s="52"/>
      <c r="T29" s="60" t="s">
        <v>121</v>
      </c>
      <c r="U29" s="55" t="str">
        <f>VLOOKUP($Q$21, $A$6:$I$36, 9, FALSE)</f>
        <v>SM-2</v>
      </c>
    </row>
    <row r="30" spans="1:21" ht="15.6" x14ac:dyDescent="0.25">
      <c r="A30" s="21" t="s">
        <v>78</v>
      </c>
      <c r="B30" s="21" t="s">
        <v>72</v>
      </c>
      <c r="C30" s="21" t="s">
        <v>42</v>
      </c>
      <c r="D30" s="21" t="s">
        <v>23</v>
      </c>
      <c r="E30" s="21" t="s">
        <v>24</v>
      </c>
      <c r="F30" s="21" t="s">
        <v>45</v>
      </c>
      <c r="G30" s="21" t="s">
        <v>33</v>
      </c>
      <c r="H30" s="21" t="s">
        <v>35</v>
      </c>
      <c r="I30" s="18" t="s">
        <v>40</v>
      </c>
      <c r="J30" s="18" t="str">
        <f t="shared" si="0"/>
        <v>C Type</v>
      </c>
      <c r="K30" s="18" t="str">
        <f t="shared" si="1"/>
        <v>N</v>
      </c>
      <c r="L30" s="18" t="str">
        <f t="shared" si="2"/>
        <v>5G</v>
      </c>
      <c r="M30" s="18" t="str">
        <f t="shared" si="3"/>
        <v>4G</v>
      </c>
      <c r="O30" s="25"/>
      <c r="P30" s="20" t="s">
        <v>52</v>
      </c>
      <c r="Q30" s="18" t="str">
        <f>VLOOKUP($Q$21, $A$6:$M$36, 13, FALSE)</f>
        <v>4G</v>
      </c>
      <c r="R30" s="30"/>
      <c r="S30" s="52"/>
    </row>
    <row r="31" spans="1:21" ht="15.6" x14ac:dyDescent="0.25">
      <c r="A31" s="21" t="s">
        <v>79</v>
      </c>
      <c r="B31" s="21" t="s">
        <v>72</v>
      </c>
      <c r="C31" s="21" t="s">
        <v>22</v>
      </c>
      <c r="D31" s="21" t="s">
        <v>43</v>
      </c>
      <c r="E31" s="21" t="s">
        <v>44</v>
      </c>
      <c r="F31" s="21" t="s">
        <v>54</v>
      </c>
      <c r="G31" s="21" t="s">
        <v>26</v>
      </c>
      <c r="H31" s="21" t="s">
        <v>27</v>
      </c>
      <c r="I31" s="18" t="s">
        <v>28</v>
      </c>
      <c r="J31" s="18" t="str">
        <f t="shared" si="0"/>
        <v>C Type</v>
      </c>
      <c r="K31" s="18" t="str">
        <f t="shared" si="1"/>
        <v>Y</v>
      </c>
      <c r="L31" s="18" t="str">
        <f t="shared" si="2"/>
        <v>4G</v>
      </c>
      <c r="M31" s="18" t="str">
        <f t="shared" si="3"/>
        <v>NA</v>
      </c>
      <c r="O31" s="25"/>
      <c r="R31" s="30"/>
      <c r="S31" s="52"/>
    </row>
    <row r="32" spans="1:21" ht="15.6" x14ac:dyDescent="0.25">
      <c r="A32" s="21" t="s">
        <v>80</v>
      </c>
      <c r="B32" s="21" t="s">
        <v>81</v>
      </c>
      <c r="C32" s="21" t="s">
        <v>37</v>
      </c>
      <c r="D32" s="21" t="s">
        <v>32</v>
      </c>
      <c r="E32" s="21" t="s">
        <v>39</v>
      </c>
      <c r="F32" s="21" t="s">
        <v>45</v>
      </c>
      <c r="G32" s="21" t="s">
        <v>26</v>
      </c>
      <c r="H32" s="21" t="s">
        <v>27</v>
      </c>
      <c r="I32" s="18" t="s">
        <v>50</v>
      </c>
      <c r="J32" s="18" t="str">
        <f t="shared" si="0"/>
        <v>C Type</v>
      </c>
      <c r="K32" s="18" t="str">
        <f t="shared" si="1"/>
        <v>Y</v>
      </c>
      <c r="L32" s="18" t="str">
        <f t="shared" si="2"/>
        <v>5G</v>
      </c>
      <c r="M32" s="18" t="str">
        <f t="shared" si="3"/>
        <v>5G</v>
      </c>
      <c r="O32" s="25"/>
      <c r="R32" s="26"/>
      <c r="S32" s="51"/>
    </row>
    <row r="33" spans="1:19" ht="16.2" thickBot="1" x14ac:dyDescent="0.3">
      <c r="A33" s="21" t="s">
        <v>82</v>
      </c>
      <c r="B33" s="21" t="s">
        <v>81</v>
      </c>
      <c r="C33" s="21" t="s">
        <v>22</v>
      </c>
      <c r="D33" s="21" t="s">
        <v>32</v>
      </c>
      <c r="E33" s="21" t="s">
        <v>39</v>
      </c>
      <c r="F33" s="21" t="s">
        <v>25</v>
      </c>
      <c r="G33" s="21" t="s">
        <v>26</v>
      </c>
      <c r="H33" s="21" t="s">
        <v>35</v>
      </c>
      <c r="I33" s="18" t="s">
        <v>34</v>
      </c>
      <c r="J33" s="18" t="str">
        <f t="shared" si="0"/>
        <v>C Type</v>
      </c>
      <c r="K33" s="18" t="str">
        <f t="shared" si="1"/>
        <v>N</v>
      </c>
      <c r="L33" s="18" t="str">
        <f t="shared" si="2"/>
        <v>4G</v>
      </c>
      <c r="M33" s="18" t="str">
        <f t="shared" si="3"/>
        <v>4G</v>
      </c>
      <c r="O33" s="32" t="s">
        <v>86</v>
      </c>
      <c r="P33" s="33"/>
      <c r="Q33" s="33"/>
      <c r="R33" s="34"/>
      <c r="S33" s="54"/>
    </row>
    <row r="34" spans="1:19" ht="15.6" x14ac:dyDescent="0.25">
      <c r="A34" s="21" t="s">
        <v>83</v>
      </c>
      <c r="B34" s="21" t="s">
        <v>81</v>
      </c>
      <c r="C34" s="21" t="s">
        <v>31</v>
      </c>
      <c r="D34" s="21" t="s">
        <v>38</v>
      </c>
      <c r="E34" s="21" t="s">
        <v>24</v>
      </c>
      <c r="F34" s="21" t="s">
        <v>54</v>
      </c>
      <c r="G34" s="21" t="s">
        <v>33</v>
      </c>
      <c r="H34" s="21" t="s">
        <v>27</v>
      </c>
      <c r="I34" s="18" t="s">
        <v>50</v>
      </c>
      <c r="J34" s="18" t="str">
        <f t="shared" si="0"/>
        <v>C Type</v>
      </c>
      <c r="K34" s="18" t="str">
        <f t="shared" si="1"/>
        <v>Y</v>
      </c>
      <c r="L34" s="18" t="str">
        <f t="shared" si="2"/>
        <v>5G</v>
      </c>
      <c r="M34" s="18" t="str">
        <f t="shared" si="3"/>
        <v>5G</v>
      </c>
    </row>
    <row r="35" spans="1:19" ht="15.6" x14ac:dyDescent="0.25">
      <c r="A35" s="21" t="s">
        <v>84</v>
      </c>
      <c r="B35" s="21" t="s">
        <v>81</v>
      </c>
      <c r="C35" s="21" t="s">
        <v>37</v>
      </c>
      <c r="D35" s="21" t="s">
        <v>32</v>
      </c>
      <c r="E35" s="21" t="s">
        <v>39</v>
      </c>
      <c r="F35" s="21" t="s">
        <v>54</v>
      </c>
      <c r="G35" s="21" t="s">
        <v>26</v>
      </c>
      <c r="H35" s="21" t="s">
        <v>35</v>
      </c>
      <c r="I35" s="18" t="s">
        <v>34</v>
      </c>
      <c r="J35" s="18" t="str">
        <f t="shared" si="0"/>
        <v>C Type</v>
      </c>
      <c r="K35" s="18" t="str">
        <f t="shared" si="1"/>
        <v>N</v>
      </c>
      <c r="L35" s="18" t="str">
        <f t="shared" si="2"/>
        <v>4G</v>
      </c>
      <c r="M35" s="18" t="str">
        <f t="shared" si="3"/>
        <v>4G</v>
      </c>
    </row>
    <row r="36" spans="1:19" ht="15.6" x14ac:dyDescent="0.25">
      <c r="A36" s="21" t="s">
        <v>85</v>
      </c>
      <c r="B36" s="21" t="s">
        <v>81</v>
      </c>
      <c r="C36" s="21" t="s">
        <v>31</v>
      </c>
      <c r="D36" s="21" t="s">
        <v>38</v>
      </c>
      <c r="E36" s="21" t="s">
        <v>24</v>
      </c>
      <c r="F36" s="21" t="s">
        <v>45</v>
      </c>
      <c r="G36" s="21" t="s">
        <v>26</v>
      </c>
      <c r="H36" s="21" t="s">
        <v>35</v>
      </c>
      <c r="I36" s="18" t="s">
        <v>50</v>
      </c>
      <c r="J36" s="18" t="str">
        <f t="shared" si="0"/>
        <v>C Type</v>
      </c>
      <c r="K36" s="18" t="str">
        <f t="shared" si="1"/>
        <v>N</v>
      </c>
      <c r="L36" s="18" t="str">
        <f t="shared" si="2"/>
        <v>5G</v>
      </c>
      <c r="M36" s="18" t="str">
        <f t="shared" si="3"/>
        <v>5G</v>
      </c>
    </row>
  </sheetData>
  <mergeCells count="8">
    <mergeCell ref="T25:U25"/>
    <mergeCell ref="B1:I1"/>
    <mergeCell ref="O33:R33"/>
    <mergeCell ref="B2:I2"/>
    <mergeCell ref="A4:I4"/>
    <mergeCell ref="A5:I5"/>
    <mergeCell ref="O18:R18"/>
    <mergeCell ref="J3:L3"/>
  </mergeCells>
  <dataValidations count="1">
    <dataValidation type="list" allowBlank="1" showInputMessage="1" showErrorMessage="1" sqref="Q21" xr:uid="{00000000-0002-0000-0300-000000000000}">
      <formula1>$A$7:$A$36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Question 1</vt:lpstr>
      <vt:lpstr>Question 2</vt:lpstr>
      <vt:lpstr>Brand_Name</vt:lpstr>
      <vt:lpstr>Memory</vt:lpstr>
      <vt:lpstr>Screen_Size</vt:lpstr>
      <vt:lpstr>Storage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Aryan Jaiswal</cp:lastModifiedBy>
  <dcterms:created xsi:type="dcterms:W3CDTF">2015-06-05T18:17:20Z</dcterms:created>
  <dcterms:modified xsi:type="dcterms:W3CDTF">2025-11-27T22:27:44Z</dcterms:modified>
</cp:coreProperties>
</file>